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res\OneDrive\Desktop\data for practice\ADA\ADA\"/>
    </mc:Choice>
  </mc:AlternateContent>
  <bookViews>
    <workbookView xWindow="-120" yWindow="-120" windowWidth="20730" windowHeight="11160" activeTab="1"/>
  </bookViews>
  <sheets>
    <sheet name="Problem" sheetId="2" r:id="rId1"/>
    <sheet name="Solved" sheetId="1" r:id="rId2"/>
  </sheets>
  <definedNames>
    <definedName name="solver_adj" localSheetId="0" hidden="1">Problem!$B$28,Problem!$B$29</definedName>
    <definedName name="solver_adj" localSheetId="1" hidden="1">Solved!$B$28:$B$29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Problem!$B$29</definedName>
    <definedName name="solver_lhs1" localSheetId="1" hidden="1">Solved!$B$29</definedName>
    <definedName name="solver_lhs2" localSheetId="0" hidden="1">Problem!$B$29</definedName>
    <definedName name="solver_lhs2" localSheetId="1" hidden="1">Solved!$B$29</definedName>
    <definedName name="solver_lhs3" localSheetId="0" hidden="1">Problem!$B$31</definedName>
    <definedName name="solver_lhs3" localSheetId="1" hidden="1">Solved!$B$32</definedName>
    <definedName name="solver_lhs4" localSheetId="0" hidden="1">Problem!$B$32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Problem!$B$32</definedName>
    <definedName name="solver_opt" localSheetId="1" hidden="1">Solved!$B$32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0" hidden="1">3</definedName>
    <definedName name="solver_rel2" localSheetId="1" hidden="1">3</definedName>
    <definedName name="solver_rel3" localSheetId="0" hidden="1">2</definedName>
    <definedName name="solver_rel3" localSheetId="1" hidden="1">3</definedName>
    <definedName name="solver_rel4" localSheetId="0" hidden="1">3</definedName>
    <definedName name="solver_rhs1" localSheetId="0" hidden="1">10000</definedName>
    <definedName name="solver_rhs1" localSheetId="1" hidden="1">10000</definedName>
    <definedName name="solver_rhs2" localSheetId="0" hidden="1">1000</definedName>
    <definedName name="solver_rhs2" localSheetId="1" hidden="1">1000</definedName>
    <definedName name="solver_rhs3" localSheetId="0" hidden="1">9</definedName>
    <definedName name="solver_rhs3" localSheetId="1" hidden="1">4000</definedName>
    <definedName name="solver_rhs4" localSheetId="0" hidden="1">4000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0" i="1" l="1"/>
  <c r="B32" i="1" l="1"/>
</calcChain>
</file>

<file path=xl/sharedStrings.xml><?xml version="1.0" encoding="utf-8"?>
<sst xmlns="http://schemas.openxmlformats.org/spreadsheetml/2006/main" count="88" uniqueCount="51">
  <si>
    <t>(price - cost  per unit)*predicted sales -ad budget</t>
  </si>
  <si>
    <t>Profit</t>
  </si>
  <si>
    <t xml:space="preserve">Cost  per unit </t>
  </si>
  <si>
    <t xml:space="preserve">Predicted sales </t>
  </si>
  <si>
    <t>Ad budget</t>
  </si>
  <si>
    <t>Price of the product</t>
  </si>
  <si>
    <t>Minimum Budget for ads</t>
  </si>
  <si>
    <t>Maximum Budget for ads</t>
  </si>
  <si>
    <t>Minimum Profit</t>
  </si>
  <si>
    <t>Cost per unit</t>
  </si>
  <si>
    <t>Constraints</t>
  </si>
  <si>
    <t>Answer:-</t>
  </si>
  <si>
    <t>(in  regression equation change price and budget)</t>
  </si>
  <si>
    <t xml:space="preserve">Q3. what will be sales if price is 10 $ and ad budget is 3500? </t>
  </si>
  <si>
    <t>Q2. what will be sales if price is 20 $ and ad budget is 1700?</t>
  </si>
  <si>
    <t>(Use regression report and write equation here)</t>
  </si>
  <si>
    <t>Q1. Use predictive analysis to find  the equation to predict the sales using price of product and ad budget.</t>
  </si>
  <si>
    <t>Sales(y)</t>
  </si>
  <si>
    <t>Ad Budget (x2)</t>
  </si>
  <si>
    <t>Price of the product (x1)</t>
  </si>
  <si>
    <t>Week</t>
  </si>
  <si>
    <t>Sales Promotion Data</t>
  </si>
  <si>
    <t>Q4 . Find the optimum value for price and ad budget to maximize profit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</si>
  <si>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</si>
  <si>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</si>
  <si>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</si>
  <si>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</si>
  <si>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</si>
  <si>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</si>
  <si>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</si>
  <si>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</si>
  <si>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</si>
  <si>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</si>
  <si>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</si>
  <si>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</si>
  <si>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</si>
  <si>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</si>
  <si>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</si>
  <si>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</si>
  <si>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</si>
  <si>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</si>
  <si>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</si>
  <si>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</si>
  <si>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</si>
  <si>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</si>
  <si>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</si>
  <si>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</si>
  <si>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eq(X1*price of product+X2*ad budget+Intercept)</t>
  </si>
  <si>
    <t>Answer:-eq(X1*price of product+X2*ad budget+Intercept)</t>
  </si>
  <si>
    <t>Answer:-414.75</t>
  </si>
  <si>
    <t>Answer:-2025.29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</si>
</sst>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757070"/>
      </left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 style="thin">
        <color rgb="FF75707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6" xfId="0" applyFill="1" applyBorder="1" applyAlignment="1"/>
    <xf numFmtId="0" fontId="9" fillId="0" borderId="7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Continuous"/>
    </xf>
    <xf numFmtId="0" fontId="3" fillId="3" borderId="1" xfId="0" applyFont="1" applyFill="1" applyBorder="1" applyAlignment="1">
      <alignment vertical="center"/>
    </xf>
    <xf numFmtId="0" fontId="7" fillId="2" borderId="0" xfId="0" applyFont="1" applyFill="1" applyAlignment="1"/>
    <xf numFmtId="0" fontId="4" fillId="6" borderId="8" xfId="0" applyFont="1" applyFill="1" applyBorder="1" applyAlignment="1">
      <alignment horizontal="left" vertical="center" readingOrder="1"/>
    </xf>
    <xf numFmtId="0" fontId="3" fillId="5" borderId="8" xfId="0" applyFont="1" applyFill="1" applyBorder="1" applyAlignment="1">
      <alignment horizontal="center" vertical="center"/>
    </xf>
    <xf numFmtId="0" fontId="3" fillId="6" borderId="8" xfId="0" applyFont="1" applyFill="1" applyBorder="1"/>
    <xf numFmtId="0" fontId="0" fillId="5" borderId="8" xfId="0" applyFill="1" applyBorder="1"/>
    <xf numFmtId="0" fontId="1" fillId="6" borderId="8" xfId="0" applyFont="1" applyFill="1" applyBorder="1"/>
    <xf numFmtId="0" fontId="1" fillId="5" borderId="8" xfId="0" applyFont="1" applyFill="1" applyBorder="1"/>
    <xf numFmtId="0" fontId="0" fillId="0" borderId="0" xfId="0" applyBorder="1"/>
    <xf numFmtId="0" fontId="9" fillId="0" borderId="0" xfId="0" applyFont="1" applyFill="1" applyBorder="1" applyAlignment="1">
      <alignment horizontal="centerContinuous"/>
    </xf>
    <xf numFmtId="0" fontId="9" fillId="0" borderId="0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7" fillId="2" borderId="0" xfId="0" applyFont="1" applyFill="1"/>
    <xf numFmtId="0" fontId="0" fillId="0" borderId="0" xfId="0" applyFont="1" applyAlignment="1">
      <alignment horizontal="center"/>
    </xf>
    <xf numFmtId="0" fontId="8" fillId="4" borderId="8" xfId="0" applyFont="1" applyFill="1" applyBorder="1" applyAlignment="1">
      <alignment horizontal="center" vertical="center"/>
    </xf>
    <xf numFmtId="0" fontId="7" fillId="0" borderId="8" xfId="0" applyFont="1" applyBorder="1"/>
    <xf numFmtId="0" fontId="8" fillId="4" borderId="5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opLeftCell="A15" workbookViewId="0">
      <selection activeCell="H15" sqref="H15"/>
    </sheetView>
  </sheetViews>
  <sheetFormatPr defaultRowHeight="15" x14ac:dyDescent="0.25"/>
  <cols>
    <col min="1" max="1" width="23.42578125" bestFit="1" customWidth="1"/>
    <col min="2" max="2" width="22.7109375" bestFit="1" customWidth="1"/>
    <col min="3" max="3" width="21.140625" customWidth="1"/>
    <col min="4" max="4" width="9.85546875" customWidth="1"/>
    <col min="5" max="5" width="17.28515625" customWidth="1"/>
    <col min="6" max="6" width="24.140625" customWidth="1"/>
    <col min="7" max="7" width="18" customWidth="1"/>
    <col min="8" max="8" width="15.85546875" customWidth="1"/>
    <col min="9" max="9" width="50.7109375" customWidth="1"/>
  </cols>
  <sheetData>
    <row r="1" spans="1:9" ht="18.75" x14ac:dyDescent="0.25">
      <c r="A1" s="37" t="s">
        <v>21</v>
      </c>
      <c r="B1" s="38"/>
      <c r="C1" s="38"/>
      <c r="D1" s="38"/>
    </row>
    <row r="2" spans="1:9" x14ac:dyDescent="0.25">
      <c r="A2" s="29" t="s">
        <v>20</v>
      </c>
      <c r="B2" s="29" t="s">
        <v>19</v>
      </c>
      <c r="C2" s="30" t="s">
        <v>18</v>
      </c>
      <c r="D2" s="29" t="s">
        <v>17</v>
      </c>
      <c r="F2" s="34" t="s">
        <v>16</v>
      </c>
      <c r="G2" s="35"/>
      <c r="H2" s="35"/>
      <c r="I2" s="35"/>
    </row>
    <row r="3" spans="1:9" x14ac:dyDescent="0.25">
      <c r="A3" s="27">
        <v>1</v>
      </c>
      <c r="B3" s="27">
        <v>15</v>
      </c>
      <c r="C3" s="28">
        <v>1500</v>
      </c>
      <c r="D3" s="27">
        <v>1240</v>
      </c>
      <c r="F3" s="33" t="s">
        <v>15</v>
      </c>
      <c r="G3" s="33"/>
      <c r="H3" s="33"/>
    </row>
    <row r="4" spans="1:9" x14ac:dyDescent="0.25">
      <c r="A4" s="6">
        <v>2</v>
      </c>
      <c r="B4" s="6">
        <v>16.399999999999999</v>
      </c>
      <c r="C4" s="7">
        <v>4000</v>
      </c>
      <c r="D4" s="6">
        <v>950</v>
      </c>
      <c r="F4" s="36" t="s">
        <v>11</v>
      </c>
      <c r="G4" s="33"/>
      <c r="H4" s="33"/>
    </row>
    <row r="5" spans="1:9" x14ac:dyDescent="0.25">
      <c r="A5" s="6">
        <v>3</v>
      </c>
      <c r="B5" s="6">
        <v>13</v>
      </c>
      <c r="C5" s="7">
        <v>2000</v>
      </c>
      <c r="D5" s="6">
        <v>1580</v>
      </c>
    </row>
    <row r="6" spans="1:9" x14ac:dyDescent="0.25">
      <c r="A6" s="6">
        <v>4</v>
      </c>
      <c r="B6" s="6">
        <v>16.5</v>
      </c>
      <c r="C6" s="6">
        <v>3000</v>
      </c>
      <c r="D6" s="6">
        <v>1190</v>
      </c>
    </row>
    <row r="7" spans="1:9" x14ac:dyDescent="0.25">
      <c r="A7" s="6">
        <v>5</v>
      </c>
      <c r="B7" s="6">
        <v>12</v>
      </c>
      <c r="C7" s="6">
        <v>1000</v>
      </c>
      <c r="D7" s="6">
        <v>1430</v>
      </c>
      <c r="F7" s="34" t="s">
        <v>14</v>
      </c>
      <c r="G7" s="35"/>
      <c r="H7" s="35"/>
      <c r="I7" s="35"/>
    </row>
    <row r="8" spans="1:9" x14ac:dyDescent="0.25">
      <c r="A8" s="6">
        <v>6</v>
      </c>
      <c r="B8" s="6">
        <v>11</v>
      </c>
      <c r="C8" s="6">
        <v>1000</v>
      </c>
      <c r="D8" s="6">
        <v>1560</v>
      </c>
      <c r="F8" s="33" t="s">
        <v>12</v>
      </c>
      <c r="G8" s="33"/>
      <c r="H8" s="33"/>
    </row>
    <row r="9" spans="1:9" x14ac:dyDescent="0.25">
      <c r="A9" s="6">
        <v>7</v>
      </c>
      <c r="B9" s="6">
        <v>14.3</v>
      </c>
      <c r="C9" s="6">
        <v>1000</v>
      </c>
      <c r="D9" s="6">
        <v>1060</v>
      </c>
      <c r="F9" s="33" t="s">
        <v>11</v>
      </c>
      <c r="G9" s="33"/>
      <c r="H9" s="33"/>
    </row>
    <row r="10" spans="1:9" x14ac:dyDescent="0.25">
      <c r="A10" s="6">
        <v>8</v>
      </c>
      <c r="B10" s="6">
        <v>18.2</v>
      </c>
      <c r="C10" s="7">
        <v>3465</v>
      </c>
      <c r="D10" s="6">
        <v>800</v>
      </c>
    </row>
    <row r="11" spans="1:9" x14ac:dyDescent="0.25">
      <c r="A11" s="6">
        <v>9</v>
      </c>
      <c r="B11" s="6">
        <v>9.6</v>
      </c>
      <c r="C11" s="6">
        <v>1000</v>
      </c>
      <c r="D11" s="6">
        <v>1895</v>
      </c>
    </row>
    <row r="12" spans="1:9" x14ac:dyDescent="0.25">
      <c r="A12" s="6">
        <v>10</v>
      </c>
      <c r="B12" s="6">
        <v>15.4</v>
      </c>
      <c r="C12" s="6">
        <v>4000</v>
      </c>
      <c r="D12" s="6">
        <v>1475</v>
      </c>
      <c r="F12" s="34" t="s">
        <v>13</v>
      </c>
      <c r="G12" s="35"/>
      <c r="H12" s="35"/>
      <c r="I12" s="35"/>
    </row>
    <row r="13" spans="1:9" x14ac:dyDescent="0.25">
      <c r="A13" s="6">
        <v>11</v>
      </c>
      <c r="B13" s="6">
        <v>12</v>
      </c>
      <c r="C13" s="7">
        <v>2000</v>
      </c>
      <c r="D13" s="6">
        <v>1560</v>
      </c>
      <c r="F13" s="33" t="s">
        <v>12</v>
      </c>
      <c r="G13" s="33"/>
      <c r="H13" s="33"/>
    </row>
    <row r="14" spans="1:9" x14ac:dyDescent="0.25">
      <c r="A14" s="6">
        <v>12</v>
      </c>
      <c r="B14" s="6">
        <v>14</v>
      </c>
      <c r="C14" s="6">
        <v>1000</v>
      </c>
      <c r="D14" s="6">
        <v>1235</v>
      </c>
      <c r="F14" s="33" t="s">
        <v>11</v>
      </c>
      <c r="G14" s="33"/>
      <c r="H14" s="33"/>
    </row>
    <row r="15" spans="1:9" x14ac:dyDescent="0.25">
      <c r="A15" s="6">
        <v>13</v>
      </c>
      <c r="B15" s="6">
        <v>16</v>
      </c>
      <c r="C15" s="6">
        <v>3000</v>
      </c>
      <c r="D15" s="6">
        <v>1065</v>
      </c>
    </row>
    <row r="16" spans="1:9" x14ac:dyDescent="0.25">
      <c r="A16" s="6">
        <v>14</v>
      </c>
      <c r="B16" s="6">
        <v>15</v>
      </c>
      <c r="C16" s="6">
        <v>1000</v>
      </c>
      <c r="D16" s="6">
        <v>1025</v>
      </c>
      <c r="F16" s="24"/>
      <c r="G16" s="24"/>
      <c r="H16" s="24"/>
      <c r="I16" s="24"/>
    </row>
    <row r="17" spans="1:14" x14ac:dyDescent="0.25">
      <c r="A17" s="6">
        <v>15</v>
      </c>
      <c r="B17" s="6">
        <v>11</v>
      </c>
      <c r="C17" s="7">
        <v>2000</v>
      </c>
      <c r="D17" s="6">
        <v>1645</v>
      </c>
      <c r="F17" s="24"/>
      <c r="G17" s="24"/>
      <c r="H17" s="24"/>
      <c r="I17" s="24"/>
    </row>
    <row r="18" spans="1:14" x14ac:dyDescent="0.25">
      <c r="F18" s="25"/>
      <c r="G18" s="25"/>
      <c r="H18" s="24"/>
      <c r="I18" s="24"/>
    </row>
    <row r="19" spans="1:14" x14ac:dyDescent="0.25">
      <c r="F19" s="12"/>
      <c r="G19" s="12"/>
      <c r="H19" s="24"/>
      <c r="I19" s="24"/>
    </row>
    <row r="20" spans="1:14" x14ac:dyDescent="0.25">
      <c r="F20" s="12"/>
      <c r="G20" s="12"/>
      <c r="H20" s="24"/>
      <c r="I20" s="24"/>
    </row>
    <row r="21" spans="1:14" x14ac:dyDescent="0.25">
      <c r="A21" s="16" t="s">
        <v>22</v>
      </c>
      <c r="B21" s="17"/>
      <c r="C21" s="17"/>
      <c r="D21" s="17"/>
      <c r="F21" s="12"/>
      <c r="G21" s="12"/>
      <c r="H21" s="24"/>
      <c r="I21" s="24"/>
    </row>
    <row r="22" spans="1:14" x14ac:dyDescent="0.25">
      <c r="A22" s="5" t="s">
        <v>10</v>
      </c>
      <c r="B22" s="5"/>
      <c r="C22" s="5"/>
      <c r="F22" s="12"/>
      <c r="G22" s="12"/>
      <c r="H22" s="24"/>
      <c r="I22" s="24"/>
    </row>
    <row r="23" spans="1:14" x14ac:dyDescent="0.25">
      <c r="A23" s="18" t="s">
        <v>9</v>
      </c>
      <c r="B23" s="19">
        <v>9</v>
      </c>
      <c r="C23" s="3"/>
      <c r="F23" s="12"/>
      <c r="G23" s="12"/>
      <c r="H23" s="24"/>
      <c r="I23" s="24"/>
    </row>
    <row r="24" spans="1:14" x14ac:dyDescent="0.25">
      <c r="A24" s="18" t="s">
        <v>8</v>
      </c>
      <c r="B24" s="19">
        <v>4000</v>
      </c>
      <c r="C24" s="3"/>
      <c r="F24" s="24"/>
      <c r="G24" s="24"/>
      <c r="H24" s="24"/>
      <c r="I24" s="24"/>
    </row>
    <row r="25" spans="1:14" ht="15.75" thickBot="1" x14ac:dyDescent="0.3">
      <c r="A25" s="18" t="s">
        <v>7</v>
      </c>
      <c r="B25" s="19">
        <v>10000</v>
      </c>
      <c r="C25" s="3"/>
      <c r="F25" s="24"/>
      <c r="G25" s="24"/>
      <c r="H25" s="24"/>
      <c r="I25" s="24"/>
    </row>
    <row r="26" spans="1:14" x14ac:dyDescent="0.25">
      <c r="A26" s="18" t="s">
        <v>6</v>
      </c>
      <c r="B26" s="19">
        <v>1000</v>
      </c>
      <c r="C26" s="2"/>
      <c r="F26" s="26"/>
      <c r="G26" s="26"/>
      <c r="H26" s="26"/>
      <c r="I26" s="26"/>
      <c r="J26" s="14" t="s">
        <v>38</v>
      </c>
      <c r="K26" s="14" t="s">
        <v>39</v>
      </c>
    </row>
    <row r="27" spans="1:14" x14ac:dyDescent="0.25">
      <c r="A27" s="31"/>
      <c r="B27" s="31"/>
      <c r="F27" s="12"/>
      <c r="G27" s="12"/>
      <c r="H27" s="12"/>
      <c r="I27" s="12"/>
      <c r="J27" s="12">
        <v>40.971534022503086</v>
      </c>
      <c r="K27" s="12">
        <v>4.3440922498509689E-6</v>
      </c>
    </row>
    <row r="28" spans="1:14" x14ac:dyDescent="0.25">
      <c r="A28" s="20" t="s">
        <v>5</v>
      </c>
      <c r="B28" s="19"/>
      <c r="F28" s="12"/>
      <c r="G28" s="12"/>
      <c r="H28" s="12"/>
      <c r="I28" s="12"/>
      <c r="J28" s="12"/>
      <c r="K28" s="12"/>
    </row>
    <row r="29" spans="1:14" ht="15.75" thickBot="1" x14ac:dyDescent="0.3">
      <c r="A29" s="22" t="s">
        <v>4</v>
      </c>
      <c r="B29" s="19"/>
      <c r="F29" s="12"/>
      <c r="G29" s="12"/>
      <c r="H29" s="12"/>
      <c r="I29" s="12"/>
      <c r="J29" s="13"/>
      <c r="K29" s="13"/>
    </row>
    <row r="30" spans="1:14" ht="15.75" thickBot="1" x14ac:dyDescent="0.3">
      <c r="A30" s="20" t="s">
        <v>3</v>
      </c>
      <c r="B30" s="21"/>
      <c r="C30" s="36" t="s">
        <v>47</v>
      </c>
      <c r="D30" s="36"/>
      <c r="E30" s="36"/>
      <c r="F30" s="24"/>
      <c r="G30" s="24"/>
      <c r="H30" s="24"/>
      <c r="I30" s="24"/>
    </row>
    <row r="31" spans="1:14" x14ac:dyDescent="0.25">
      <c r="A31" s="20" t="s">
        <v>2</v>
      </c>
      <c r="B31" s="19"/>
      <c r="F31" s="26"/>
      <c r="G31" s="26"/>
      <c r="H31" s="26"/>
      <c r="I31" s="26"/>
      <c r="J31" s="14" t="s">
        <v>42</v>
      </c>
      <c r="K31" s="14" t="s">
        <v>43</v>
      </c>
      <c r="L31" s="14" t="s">
        <v>44</v>
      </c>
      <c r="M31" s="14" t="s">
        <v>45</v>
      </c>
      <c r="N31" s="14" t="s">
        <v>46</v>
      </c>
    </row>
    <row r="32" spans="1:14" x14ac:dyDescent="0.25">
      <c r="A32" s="20" t="s">
        <v>1</v>
      </c>
      <c r="B32" s="21"/>
      <c r="C32" s="32" t="s">
        <v>0</v>
      </c>
      <c r="D32" s="32"/>
      <c r="E32" s="32"/>
      <c r="F32" s="12"/>
      <c r="G32" s="12"/>
      <c r="H32" s="12"/>
      <c r="I32" s="12"/>
      <c r="J32" s="12">
        <v>2.7678804244337782E-9</v>
      </c>
      <c r="K32" s="12">
        <v>2656.7496050011237</v>
      </c>
      <c r="L32" s="12">
        <v>3529.0173715176402</v>
      </c>
      <c r="M32" s="12">
        <v>2656.7496050011237</v>
      </c>
      <c r="N32" s="12">
        <v>3529.0173715176402</v>
      </c>
    </row>
    <row r="33" spans="6:14" x14ac:dyDescent="0.25">
      <c r="F33" s="12"/>
      <c r="G33" s="12"/>
      <c r="H33" s="12"/>
      <c r="I33" s="12"/>
      <c r="J33" s="12">
        <v>2.5406910656036856E-6</v>
      </c>
      <c r="K33" s="12">
        <v>-179.921215437809</v>
      </c>
      <c r="L33" s="12">
        <v>-105.17568319317689</v>
      </c>
      <c r="M33" s="12">
        <v>-179.921215437809</v>
      </c>
      <c r="N33" s="12">
        <v>-105.17568319317689</v>
      </c>
    </row>
    <row r="34" spans="6:14" ht="15.75" thickBot="1" x14ac:dyDescent="0.3">
      <c r="F34" s="12"/>
      <c r="G34" s="12"/>
      <c r="H34" s="12"/>
      <c r="I34" s="12"/>
      <c r="J34" s="13">
        <v>1.6510339122532174E-2</v>
      </c>
      <c r="K34" s="13">
        <v>2.224470102082185E-2</v>
      </c>
      <c r="L34" s="13">
        <v>0.18226961919706869</v>
      </c>
      <c r="M34" s="13">
        <v>2.224470102082185E-2</v>
      </c>
      <c r="N34" s="13">
        <v>0.18226961919706869</v>
      </c>
    </row>
  </sheetData>
  <mergeCells count="12">
    <mergeCell ref="F8:H8"/>
    <mergeCell ref="A1:D1"/>
    <mergeCell ref="F2:I2"/>
    <mergeCell ref="F3:H3"/>
    <mergeCell ref="F4:H4"/>
    <mergeCell ref="F7:I7"/>
    <mergeCell ref="C32:E32"/>
    <mergeCell ref="F9:H9"/>
    <mergeCell ref="F12:I12"/>
    <mergeCell ref="F13:H13"/>
    <mergeCell ref="F14:H14"/>
    <mergeCell ref="C30:E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41"/>
  <sheetViews>
    <sheetView tabSelected="1" topLeftCell="A15" zoomScaleNormal="100" workbookViewId="0">
      <selection activeCell="F15" sqref="F15"/>
    </sheetView>
  </sheetViews>
  <sheetFormatPr defaultColWidth="14.42578125" defaultRowHeight="15" x14ac:dyDescent="0.25"/>
  <cols>
    <col min="1" max="1" width="23.42578125" bestFit="1" customWidth="1"/>
    <col min="2" max="2" width="30.85546875" customWidth="1"/>
    <col min="3" max="3" width="18.85546875" customWidth="1"/>
    <col min="4" max="4" width="7.140625" bestFit="1" customWidth="1"/>
    <col min="5" max="5" width="21.28515625" customWidth="1"/>
    <col min="6" max="6" width="17.5703125" customWidth="1"/>
    <col min="7" max="7" width="13.42578125" customWidth="1"/>
    <col min="8" max="8" width="22.5703125" customWidth="1"/>
    <col min="9" max="9" width="36" customWidth="1"/>
  </cols>
  <sheetData>
    <row r="1" spans="1:15" ht="18.75" x14ac:dyDescent="0.25">
      <c r="A1" s="39" t="s">
        <v>21</v>
      </c>
      <c r="B1" s="40"/>
      <c r="C1" s="40"/>
      <c r="D1" s="41"/>
    </row>
    <row r="2" spans="1:15" x14ac:dyDescent="0.25">
      <c r="A2" s="10" t="s">
        <v>20</v>
      </c>
      <c r="B2" s="10" t="s">
        <v>19</v>
      </c>
      <c r="C2" s="11" t="s">
        <v>18</v>
      </c>
      <c r="D2" s="10" t="s">
        <v>17</v>
      </c>
      <c r="F2" s="34" t="s">
        <v>16</v>
      </c>
      <c r="G2" s="35"/>
      <c r="H2" s="35"/>
      <c r="I2" s="35"/>
    </row>
    <row r="3" spans="1:15" x14ac:dyDescent="0.25">
      <c r="A3" s="6">
        <v>1</v>
      </c>
      <c r="B3" s="6">
        <v>15</v>
      </c>
      <c r="C3" s="7">
        <v>1500</v>
      </c>
      <c r="D3" s="6">
        <v>1240</v>
      </c>
      <c r="F3" s="33" t="s">
        <v>15</v>
      </c>
      <c r="G3" s="33"/>
      <c r="H3" s="33"/>
    </row>
    <row r="4" spans="1:15" x14ac:dyDescent="0.25">
      <c r="A4" s="6">
        <v>2</v>
      </c>
      <c r="B4" s="6">
        <v>16.399999999999999</v>
      </c>
      <c r="C4" s="7">
        <v>4000</v>
      </c>
      <c r="D4" s="6">
        <v>950</v>
      </c>
      <c r="E4" s="8"/>
      <c r="F4" s="36" t="s">
        <v>48</v>
      </c>
      <c r="G4" s="33"/>
      <c r="H4" s="33"/>
    </row>
    <row r="5" spans="1:15" x14ac:dyDescent="0.25">
      <c r="A5" s="6">
        <v>3</v>
      </c>
      <c r="B5" s="6">
        <v>13</v>
      </c>
      <c r="C5" s="7">
        <v>2000</v>
      </c>
      <c r="D5" s="6">
        <v>1580</v>
      </c>
      <c r="F5" s="9"/>
    </row>
    <row r="6" spans="1:15" x14ac:dyDescent="0.25">
      <c r="A6" s="6">
        <v>4</v>
      </c>
      <c r="B6" s="6">
        <v>16.5</v>
      </c>
      <c r="C6" s="6">
        <v>3000</v>
      </c>
      <c r="D6" s="6">
        <v>1190</v>
      </c>
      <c r="E6" s="1"/>
    </row>
    <row r="7" spans="1:15" x14ac:dyDescent="0.25">
      <c r="A7" s="6">
        <v>5</v>
      </c>
      <c r="B7" s="6">
        <v>12</v>
      </c>
      <c r="C7" s="6">
        <v>1000</v>
      </c>
      <c r="D7" s="6">
        <v>1430</v>
      </c>
      <c r="F7" s="34" t="s">
        <v>14</v>
      </c>
      <c r="G7" s="35"/>
      <c r="H7" s="35"/>
      <c r="I7" s="35"/>
    </row>
    <row r="8" spans="1:15" x14ac:dyDescent="0.25">
      <c r="A8" s="6">
        <v>6</v>
      </c>
      <c r="B8" s="6">
        <v>11</v>
      </c>
      <c r="C8" s="6">
        <v>1000</v>
      </c>
      <c r="D8" s="6">
        <v>1560</v>
      </c>
      <c r="F8" s="33" t="s">
        <v>12</v>
      </c>
      <c r="G8" s="33"/>
      <c r="H8" s="33"/>
      <c r="K8" s="4"/>
    </row>
    <row r="9" spans="1:15" x14ac:dyDescent="0.25">
      <c r="A9" s="6">
        <v>7</v>
      </c>
      <c r="B9" s="6">
        <v>14.3</v>
      </c>
      <c r="C9" s="6">
        <v>1000</v>
      </c>
      <c r="D9" s="6">
        <v>1060</v>
      </c>
      <c r="E9" s="8"/>
      <c r="F9" s="36" t="s">
        <v>49</v>
      </c>
      <c r="G9" s="33"/>
      <c r="H9" s="33"/>
    </row>
    <row r="10" spans="1:15" x14ac:dyDescent="0.25">
      <c r="A10" s="6">
        <v>8</v>
      </c>
      <c r="B10" s="6">
        <v>18.2</v>
      </c>
      <c r="C10" s="7">
        <v>3465</v>
      </c>
      <c r="D10" s="6">
        <v>800</v>
      </c>
    </row>
    <row r="11" spans="1:15" x14ac:dyDescent="0.25">
      <c r="A11" s="6">
        <v>9</v>
      </c>
      <c r="B11" s="6">
        <v>9.6</v>
      </c>
      <c r="C11" s="6">
        <v>1000</v>
      </c>
      <c r="D11" s="6">
        <v>1895</v>
      </c>
    </row>
    <row r="12" spans="1:15" x14ac:dyDescent="0.25">
      <c r="A12" s="6">
        <v>10</v>
      </c>
      <c r="B12" s="6">
        <v>15.4</v>
      </c>
      <c r="C12" s="6">
        <v>4000</v>
      </c>
      <c r="D12" s="6">
        <v>1475</v>
      </c>
      <c r="F12" s="34" t="s">
        <v>13</v>
      </c>
      <c r="G12" s="35"/>
      <c r="H12" s="35"/>
      <c r="I12" s="35"/>
    </row>
    <row r="13" spans="1:15" x14ac:dyDescent="0.25">
      <c r="A13" s="6">
        <v>11</v>
      </c>
      <c r="B13" s="6">
        <v>12</v>
      </c>
      <c r="C13" s="7">
        <v>2000</v>
      </c>
      <c r="D13" s="6">
        <v>1560</v>
      </c>
      <c r="F13" s="33" t="s">
        <v>12</v>
      </c>
      <c r="G13" s="33"/>
      <c r="H13" s="33"/>
      <c r="J13" s="1"/>
      <c r="K13" s="1"/>
    </row>
    <row r="14" spans="1:15" x14ac:dyDescent="0.25">
      <c r="A14" s="6">
        <v>12</v>
      </c>
      <c r="B14" s="6">
        <v>14</v>
      </c>
      <c r="C14" s="6">
        <v>1000</v>
      </c>
      <c r="D14" s="6">
        <v>1235</v>
      </c>
      <c r="E14" s="8"/>
      <c r="F14" s="36" t="s">
        <v>50</v>
      </c>
      <c r="G14" s="33"/>
      <c r="H14" s="33"/>
    </row>
    <row r="15" spans="1:15" x14ac:dyDescent="0.25">
      <c r="A15" s="6">
        <v>13</v>
      </c>
      <c r="B15" s="6">
        <v>16</v>
      </c>
      <c r="C15" s="6">
        <v>3000</v>
      </c>
      <c r="D15" s="6">
        <v>1065</v>
      </c>
    </row>
    <row r="16" spans="1:15" x14ac:dyDescent="0.25">
      <c r="A16" s="6">
        <v>14</v>
      </c>
      <c r="B16" s="6">
        <v>15</v>
      </c>
      <c r="C16" s="6">
        <v>1000</v>
      </c>
      <c r="D16" s="6">
        <v>1025</v>
      </c>
      <c r="O16" s="4"/>
    </row>
    <row r="17" spans="1:18" x14ac:dyDescent="0.25">
      <c r="A17" s="6">
        <v>15</v>
      </c>
      <c r="B17" s="6">
        <v>11</v>
      </c>
      <c r="C17" s="7">
        <v>2000</v>
      </c>
      <c r="D17" s="6">
        <v>1645</v>
      </c>
    </row>
    <row r="18" spans="1:18" x14ac:dyDescent="0.25">
      <c r="G18" t="s">
        <v>23</v>
      </c>
    </row>
    <row r="19" spans="1:18" ht="15.75" thickBot="1" x14ac:dyDescent="0.3"/>
    <row r="20" spans="1:18" x14ac:dyDescent="0.25">
      <c r="G20" s="15" t="s">
        <v>24</v>
      </c>
      <c r="H20" s="15"/>
    </row>
    <row r="21" spans="1:18" x14ac:dyDescent="0.25">
      <c r="A21" s="34" t="s">
        <v>22</v>
      </c>
      <c r="B21" s="35"/>
      <c r="C21" s="35"/>
      <c r="D21" s="35"/>
      <c r="G21" s="12" t="s">
        <v>25</v>
      </c>
      <c r="H21" s="12">
        <v>0.93395024519117076</v>
      </c>
    </row>
    <row r="22" spans="1:18" x14ac:dyDescent="0.25">
      <c r="A22" s="5" t="s">
        <v>10</v>
      </c>
      <c r="B22" s="5"/>
      <c r="C22" s="5"/>
      <c r="G22" s="12" t="s">
        <v>26</v>
      </c>
      <c r="H22" s="12">
        <v>0.87226306049264801</v>
      </c>
      <c r="P22" s="4"/>
      <c r="Q22" s="4"/>
      <c r="R22" s="4"/>
    </row>
    <row r="23" spans="1:18" x14ac:dyDescent="0.25">
      <c r="A23" s="18" t="s">
        <v>9</v>
      </c>
      <c r="B23" s="19">
        <v>9</v>
      </c>
      <c r="C23" s="3"/>
      <c r="G23" s="12" t="s">
        <v>27</v>
      </c>
      <c r="H23" s="12">
        <v>0.85097357057475609</v>
      </c>
    </row>
    <row r="24" spans="1:18" x14ac:dyDescent="0.25">
      <c r="A24" s="18" t="s">
        <v>8</v>
      </c>
      <c r="B24" s="19">
        <v>4000</v>
      </c>
      <c r="C24" s="3"/>
      <c r="G24" s="12" t="s">
        <v>28</v>
      </c>
      <c r="H24" s="12">
        <v>118.18238577758798</v>
      </c>
    </row>
    <row r="25" spans="1:18" ht="15.75" thickBot="1" x14ac:dyDescent="0.3">
      <c r="A25" s="18" t="s">
        <v>7</v>
      </c>
      <c r="B25" s="19">
        <v>10000</v>
      </c>
      <c r="C25" s="3"/>
      <c r="G25" s="13" t="s">
        <v>29</v>
      </c>
      <c r="H25" s="13">
        <v>15</v>
      </c>
      <c r="P25" s="1"/>
      <c r="Q25" s="1"/>
      <c r="R25" s="1"/>
    </row>
    <row r="26" spans="1:18" x14ac:dyDescent="0.25">
      <c r="A26" s="18" t="s">
        <v>6</v>
      </c>
      <c r="B26" s="19">
        <v>1000</v>
      </c>
      <c r="C26" s="2"/>
    </row>
    <row r="27" spans="1:18" ht="15.75" thickBot="1" x14ac:dyDescent="0.3">
      <c r="G27" t="s">
        <v>30</v>
      </c>
    </row>
    <row r="28" spans="1:18" x14ac:dyDescent="0.25">
      <c r="A28" s="20" t="s">
        <v>5</v>
      </c>
      <c r="B28" s="21">
        <v>15.707209396575589</v>
      </c>
      <c r="G28" s="14"/>
      <c r="H28" s="14" t="s">
        <v>35</v>
      </c>
      <c r="I28" s="14" t="s">
        <v>36</v>
      </c>
      <c r="J28" s="14" t="s">
        <v>37</v>
      </c>
      <c r="K28" s="14" t="s">
        <v>38</v>
      </c>
      <c r="L28" s="14" t="s">
        <v>39</v>
      </c>
    </row>
    <row r="29" spans="1:18" x14ac:dyDescent="0.25">
      <c r="A29" s="22" t="s">
        <v>4</v>
      </c>
      <c r="B29" s="21">
        <v>1000</v>
      </c>
      <c r="G29" s="12" t="s">
        <v>31</v>
      </c>
      <c r="H29" s="12">
        <v>2</v>
      </c>
      <c r="I29" s="12">
        <v>1144505.0843030084</v>
      </c>
      <c r="J29" s="12">
        <v>572252.5421515042</v>
      </c>
      <c r="K29" s="12">
        <v>40.971534022503086</v>
      </c>
      <c r="L29" s="12">
        <v>4.3440922498509689E-6</v>
      </c>
    </row>
    <row r="30" spans="1:18" x14ac:dyDescent="0.25">
      <c r="A30" s="20" t="s">
        <v>3</v>
      </c>
      <c r="B30" s="21">
        <f>H35*B28+H36*B29+H34</f>
        <v>956.10230581273754</v>
      </c>
      <c r="C30" s="36" t="s">
        <v>47</v>
      </c>
      <c r="D30" s="36"/>
      <c r="E30" s="36"/>
      <c r="G30" s="12" t="s">
        <v>32</v>
      </c>
      <c r="H30" s="12">
        <v>12</v>
      </c>
      <c r="I30" s="12">
        <v>167604.91569699155</v>
      </c>
      <c r="J30" s="12">
        <v>13967.076308082629</v>
      </c>
      <c r="K30" s="12"/>
      <c r="L30" s="12"/>
    </row>
    <row r="31" spans="1:18" ht="15.75" thickBot="1" x14ac:dyDescent="0.3">
      <c r="A31" s="20" t="s">
        <v>2</v>
      </c>
      <c r="B31" s="23">
        <v>9</v>
      </c>
      <c r="G31" s="13" t="s">
        <v>33</v>
      </c>
      <c r="H31" s="13">
        <v>14</v>
      </c>
      <c r="I31" s="13">
        <v>1312110</v>
      </c>
      <c r="J31" s="13"/>
      <c r="K31" s="13"/>
      <c r="L31" s="13"/>
    </row>
    <row r="32" spans="1:18" ht="15.75" thickBot="1" x14ac:dyDescent="0.3">
      <c r="A32" s="20" t="s">
        <v>1</v>
      </c>
      <c r="B32" s="21">
        <f>(B28-B31)*B30-B29</f>
        <v>5412.7783696347806</v>
      </c>
      <c r="C32" s="32" t="s">
        <v>0</v>
      </c>
      <c r="D32" s="32"/>
      <c r="E32" s="32"/>
    </row>
    <row r="33" spans="1:15" x14ac:dyDescent="0.25">
      <c r="G33" s="14"/>
      <c r="H33" s="14" t="s">
        <v>40</v>
      </c>
      <c r="I33" s="14" t="s">
        <v>28</v>
      </c>
      <c r="J33" s="14" t="s">
        <v>41</v>
      </c>
      <c r="K33" s="14" t="s">
        <v>42</v>
      </c>
      <c r="L33" s="14" t="s">
        <v>43</v>
      </c>
      <c r="M33" s="14" t="s">
        <v>44</v>
      </c>
      <c r="N33" s="14" t="s">
        <v>45</v>
      </c>
      <c r="O33" s="14" t="s">
        <v>46</v>
      </c>
    </row>
    <row r="34" spans="1:15" x14ac:dyDescent="0.25">
      <c r="G34" s="12" t="s">
        <v>34</v>
      </c>
      <c r="H34" s="12">
        <v>3092.8834882593819</v>
      </c>
      <c r="I34" s="12">
        <v>200.17042185531341</v>
      </c>
      <c r="J34" s="12">
        <v>15.451251286740909</v>
      </c>
      <c r="K34" s="12">
        <v>2.7678804244337782E-9</v>
      </c>
      <c r="L34" s="12">
        <v>2656.7496050011237</v>
      </c>
      <c r="M34" s="12">
        <v>3529.0173715176402</v>
      </c>
      <c r="N34" s="12">
        <v>2656.7496050011237</v>
      </c>
      <c r="O34" s="12">
        <v>3529.0173715176402</v>
      </c>
    </row>
    <row r="35" spans="1:15" x14ac:dyDescent="0.25">
      <c r="G35" s="12" t="s">
        <v>19</v>
      </c>
      <c r="H35" s="12">
        <v>-142.54844931549295</v>
      </c>
      <c r="I35" s="12">
        <v>17.152811665802439</v>
      </c>
      <c r="J35" s="12">
        <v>-8.3105004644627325</v>
      </c>
      <c r="K35" s="12">
        <v>2.5406910656036856E-6</v>
      </c>
      <c r="L35" s="12">
        <v>-179.921215437809</v>
      </c>
      <c r="M35" s="12">
        <v>-105.17568319317689</v>
      </c>
      <c r="N35" s="12">
        <v>-179.921215437809</v>
      </c>
      <c r="O35" s="12">
        <v>-105.17568319317689</v>
      </c>
    </row>
    <row r="36" spans="1:15" ht="15.75" thickBot="1" x14ac:dyDescent="0.3">
      <c r="G36" s="13" t="s">
        <v>18</v>
      </c>
      <c r="H36" s="13">
        <v>0.10225716010894527</v>
      </c>
      <c r="I36" s="13">
        <v>3.6722961237723104E-2</v>
      </c>
      <c r="J36" s="13">
        <v>2.7845564916998895</v>
      </c>
      <c r="K36" s="13">
        <v>1.6510339122532174E-2</v>
      </c>
      <c r="L36" s="13">
        <v>2.224470102082185E-2</v>
      </c>
      <c r="M36" s="13">
        <v>0.18226961919706869</v>
      </c>
      <c r="N36" s="13">
        <v>2.224470102082185E-2</v>
      </c>
      <c r="O36" s="13">
        <v>0.18226961919706869</v>
      </c>
    </row>
    <row r="41" spans="1:15" x14ac:dyDescent="0.25">
      <c r="A41" s="1"/>
    </row>
  </sheetData>
  <mergeCells count="13">
    <mergeCell ref="C32:E32"/>
    <mergeCell ref="A1:D1"/>
    <mergeCell ref="F2:I2"/>
    <mergeCell ref="F7:I7"/>
    <mergeCell ref="F12:I12"/>
    <mergeCell ref="A21:D21"/>
    <mergeCell ref="C30:E30"/>
    <mergeCell ref="F3:H3"/>
    <mergeCell ref="F8:H8"/>
    <mergeCell ref="F13:H13"/>
    <mergeCell ref="F4:H4"/>
    <mergeCell ref="F9:H9"/>
    <mergeCell ref="F14:H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SAKIR MANSURI</dc:creator>
  <cp:lastModifiedBy>kureshi sakil</cp:lastModifiedBy>
  <dcterms:created xsi:type="dcterms:W3CDTF">2025-12-22T11:50:42Z</dcterms:created>
  <dcterms:modified xsi:type="dcterms:W3CDTF">2026-07-13T05:52:52Z</dcterms:modified>
</cp:coreProperties>
</file>