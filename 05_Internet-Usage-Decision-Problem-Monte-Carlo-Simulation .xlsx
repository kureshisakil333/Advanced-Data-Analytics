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ures\OneDrive\Desktop\data for practice\ADA\ADA\"/>
    </mc:Choice>
  </mc:AlternateContent>
  <bookViews>
    <workbookView xWindow="-120" yWindow="-120" windowWidth="20730" windowHeight="11160" activeTab="2"/>
  </bookViews>
  <sheets>
    <sheet name="Decision Problem" sheetId="1" r:id="rId1"/>
    <sheet name="Problem" sheetId="5" r:id="rId2"/>
    <sheet name="Solved"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cDnHmRxxoP2Etl41I6JtlzTiIwg8qZsd4y93AU3QaM="/>
    </ext>
  </extLst>
</workbook>
</file>

<file path=xl/calcChain.xml><?xml version="1.0" encoding="utf-8"?>
<calcChain xmlns="http://schemas.openxmlformats.org/spreadsheetml/2006/main">
  <c r="C24" i="6" l="1"/>
  <c r="C18" i="6"/>
  <c r="C19" i="6"/>
  <c r="C20" i="6"/>
  <c r="C21" i="6"/>
  <c r="K13" i="6" s="1"/>
  <c r="C22" i="6"/>
  <c r="C23"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7" i="6"/>
  <c r="K9"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7" i="6"/>
  <c r="L10" i="6" s="1"/>
  <c r="G14" i="6"/>
  <c r="G13" i="6"/>
  <c r="K10" i="6" l="1"/>
  <c r="K12" i="6"/>
  <c r="L12" i="6"/>
  <c r="L9" i="6"/>
  <c r="L13" i="6"/>
</calcChain>
</file>

<file path=xl/sharedStrings.xml><?xml version="1.0" encoding="utf-8"?>
<sst xmlns="http://schemas.openxmlformats.org/spreadsheetml/2006/main" count="75" uniqueCount="29">
  <si>
    <t>Corporate Internet Plans</t>
  </si>
  <si>
    <t>FLEXI</t>
  </si>
  <si>
    <t>Flat plan charging $2 per GB</t>
  </si>
  <si>
    <t>FAST1000</t>
  </si>
  <si>
    <t>Fixed $1500, 1000 GB included , Post 1000 GB , $3.5 per GB</t>
  </si>
  <si>
    <t>Plan</t>
  </si>
  <si>
    <t>Fixed Cost ($)</t>
  </si>
  <si>
    <t>Cost per GB ($)</t>
  </si>
  <si>
    <t>FAST1000 (1000 GB Incl)</t>
  </si>
  <si>
    <t>SMART IT Inc  has been using FLEXI corporate internet plan for an year and thinking about deciding to switch to FAST1000. SMART IT Inc business is seasonal and internet usage varies as per the demand.
Generally bill usage vary from around 1000 GB. Past 6 months usage in GB are 620,1050,1200,1480,870,1600</t>
  </si>
  <si>
    <r>
      <rPr>
        <b/>
        <sz val="13"/>
        <color theme="1"/>
        <rFont val="Calibri"/>
        <family val="2"/>
      </rPr>
      <t>Problem : SMART IT</t>
    </r>
    <r>
      <rPr>
        <sz val="13"/>
        <color theme="1"/>
        <rFont val="Calibri"/>
        <family val="2"/>
      </rPr>
      <t xml:space="preserve"> Inc  has been using</t>
    </r>
    <r>
      <rPr>
        <b/>
        <sz val="13"/>
        <color theme="1"/>
        <rFont val="Calibri"/>
        <family val="2"/>
      </rPr>
      <t xml:space="preserve"> FLEXI </t>
    </r>
    <r>
      <rPr>
        <sz val="13"/>
        <color theme="1"/>
        <rFont val="Calibri"/>
        <family val="2"/>
      </rPr>
      <t>corporate internet plan for an year and thinking about deciding to switch to</t>
    </r>
    <r>
      <rPr>
        <b/>
        <sz val="13"/>
        <color theme="1"/>
        <rFont val="Calibri"/>
        <family val="2"/>
      </rPr>
      <t xml:space="preserve"> FAST1000</t>
    </r>
    <r>
      <rPr>
        <sz val="13"/>
        <color theme="1"/>
        <rFont val="Calibri"/>
        <family val="2"/>
      </rPr>
      <t xml:space="preserve">. 
SMART IT Inc business is seasonal and internet usage varies as per the demand.
Generally bill usage vary from around 1000 GB. </t>
    </r>
    <r>
      <rPr>
        <b/>
        <sz val="13"/>
        <color theme="1"/>
        <rFont val="Calibri"/>
        <family val="2"/>
      </rPr>
      <t>Past 6 months usage in GB are 620,1050,1200,1480,870,1600.</t>
    </r>
  </si>
  <si>
    <t>Usage</t>
  </si>
  <si>
    <t>Flexi = consumption * 2</t>
  </si>
  <si>
    <t>Fast = if(consumption &lt;=1000,1500,1500+(consumption-1000)*3.5)</t>
  </si>
  <si>
    <t>Fast1000</t>
  </si>
  <si>
    <t>Mean</t>
  </si>
  <si>
    <t>Std</t>
  </si>
  <si>
    <t>mean</t>
  </si>
  <si>
    <t>Max</t>
  </si>
  <si>
    <t>std</t>
  </si>
  <si>
    <t>Min</t>
  </si>
  <si>
    <t>SIMULATION 1000</t>
  </si>
  <si>
    <t>FLEXI Bins</t>
  </si>
  <si>
    <t>Frequency</t>
  </si>
  <si>
    <t>Fast1000 Bins</t>
  </si>
  <si>
    <t>Fixed $1500(1000 GB included) , Post 1000 GB , $3.5 per GB</t>
  </si>
  <si>
    <t>GIVEN:</t>
  </si>
  <si>
    <t>generate 1000 random number  keep normal distribution</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</si>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</sst>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scheme val="minor"/>
    </font>
    <font>
      <sz val="11"/>
      <color theme="1"/>
      <name val="Calibri"/>
      <family val="2"/>
      <scheme val="minor"/>
    </font>
    <font>
      <sz val="11"/>
      <color theme="1"/>
      <name val="Calibri"/>
      <family val="2"/>
    </font>
    <font>
      <b/>
      <sz val="11"/>
      <color theme="1"/>
      <name val="Calibri"/>
      <family val="2"/>
    </font>
    <font>
      <sz val="11"/>
      <name val="Calibri"/>
      <family val="2"/>
    </font>
    <font>
      <sz val="11"/>
      <color theme="1"/>
      <name val="Calibri"/>
      <family val="2"/>
      <scheme val="minor"/>
    </font>
    <font>
      <i/>
      <sz val="11"/>
      <color theme="1"/>
      <name val="Calibri"/>
      <family val="2"/>
    </font>
    <font>
      <b/>
      <i/>
      <sz val="11"/>
      <color theme="1"/>
      <name val="Calibri"/>
      <family val="2"/>
    </font>
    <font>
      <b/>
      <sz val="13"/>
      <color theme="1"/>
      <name val="Calibri"/>
      <family val="2"/>
    </font>
    <font>
      <sz val="13"/>
      <color theme="1"/>
      <name val="Calibri"/>
      <family val="2"/>
    </font>
  </fonts>
  <fills count="7">
    <fill>
      <patternFill patternType="none"/>
    </fill>
    <fill>
      <patternFill patternType="gray125"/>
    </fill>
    <fill>
      <patternFill patternType="solid">
        <fgColor rgb="FFD8D8D8"/>
        <bgColor rgb="FFD8D8D8"/>
      </patternFill>
    </fill>
    <fill>
      <patternFill patternType="solid">
        <fgColor rgb="FFF6B26B"/>
        <bgColor rgb="FFF6B26B"/>
      </patternFill>
    </fill>
    <fill>
      <patternFill patternType="solid">
        <fgColor rgb="FFDADADA"/>
        <bgColor rgb="FFDADADA"/>
      </patternFill>
    </fill>
    <fill>
      <patternFill patternType="solid">
        <fgColor rgb="FFF7CAAC"/>
        <bgColor rgb="FFF7CAAC"/>
      </patternFill>
    </fill>
    <fill>
      <patternFill patternType="solid">
        <fgColor theme="6"/>
        <bgColor theme="6"/>
      </patternFill>
    </fill>
  </fills>
  <borders count="22">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right/>
      <top/>
      <bottom style="medium">
        <color indexed="64"/>
      </bottom>
      <diagonal/>
    </border>
    <border>
      <left style="thin">
        <color rgb="FF000000"/>
      </left>
      <right style="medium">
        <color indexed="64"/>
      </right>
      <top style="thin">
        <color rgb="FF000000"/>
      </top>
      <bottom style="medium">
        <color indexed="64"/>
      </bottom>
      <diagonal/>
    </border>
    <border>
      <left/>
      <right/>
      <top/>
      <bottom style="thin">
        <color rgb="FF000000"/>
      </bottom>
      <diagonal/>
    </border>
  </borders>
  <cellStyleXfs count="1">
    <xf numFmtId="0" fontId="0" fillId="0" borderId="0"/>
  </cellStyleXfs>
  <cellXfs count="58">
    <xf numFmtId="0" fontId="0" fillId="0" borderId="0" xfId="0"/>
    <xf numFmtId="0" fontId="2" fillId="0" borderId="0" xfId="0" applyFont="1" applyAlignment="1">
      <alignment horizontal="center"/>
    </xf>
    <xf numFmtId="0" fontId="2" fillId="0" borderId="0" xfId="0" applyFont="1" applyAlignment="1">
      <alignment horizontal="left"/>
    </xf>
    <xf numFmtId="0" fontId="2" fillId="0" borderId="0" xfId="0" applyFont="1" applyAlignment="1">
      <alignment horizontal="center" wrapText="1"/>
    </xf>
    <xf numFmtId="0" fontId="2" fillId="0" borderId="0" xfId="0" applyFont="1" applyAlignment="1">
      <alignment horizontal="left" wrapText="1"/>
    </xf>
    <xf numFmtId="0" fontId="5" fillId="0" borderId="0" xfId="0" applyFont="1"/>
    <xf numFmtId="0" fontId="2" fillId="0" borderId="3" xfId="0" applyFont="1" applyBorder="1" applyAlignment="1">
      <alignment horizontal="center"/>
    </xf>
    <xf numFmtId="0" fontId="2" fillId="0" borderId="3" xfId="0" applyFont="1" applyBorder="1"/>
    <xf numFmtId="0" fontId="3" fillId="0" borderId="3" xfId="0" applyFont="1" applyBorder="1" applyAlignment="1">
      <alignment horizontal="center"/>
    </xf>
    <xf numFmtId="1" fontId="2" fillId="0" borderId="0" xfId="0" applyNumberFormat="1" applyFont="1" applyAlignment="1">
      <alignment horizontal="center"/>
    </xf>
    <xf numFmtId="0" fontId="3" fillId="4" borderId="3" xfId="0" applyFont="1" applyFill="1" applyBorder="1"/>
    <xf numFmtId="0" fontId="3" fillId="4" borderId="3" xfId="0" applyFont="1" applyFill="1" applyBorder="1" applyAlignment="1">
      <alignment horizontal="center"/>
    </xf>
    <xf numFmtId="1" fontId="3" fillId="5" borderId="3" xfId="0" applyNumberFormat="1" applyFont="1" applyFill="1" applyBorder="1" applyAlignment="1">
      <alignment horizontal="center"/>
    </xf>
    <xf numFmtId="0" fontId="2" fillId="0" borderId="0" xfId="0" applyFont="1"/>
    <xf numFmtId="0" fontId="6" fillId="0" borderId="0" xfId="0" applyFont="1" applyAlignment="1">
      <alignment horizontal="center"/>
    </xf>
    <xf numFmtId="0" fontId="3" fillId="0" borderId="0" xfId="0" applyFont="1" applyAlignment="1">
      <alignment horizontal="left" wrapText="1"/>
    </xf>
    <xf numFmtId="0" fontId="7" fillId="6" borderId="3" xfId="0" applyFont="1" applyFill="1" applyBorder="1" applyAlignment="1">
      <alignment horizontal="center" vertical="center"/>
    </xf>
    <xf numFmtId="0" fontId="7" fillId="6" borderId="5" xfId="0" applyFont="1" applyFill="1" applyBorder="1" applyAlignment="1">
      <alignment horizontal="center" vertical="center"/>
    </xf>
    <xf numFmtId="0" fontId="3" fillId="0" borderId="6" xfId="0" applyFont="1" applyBorder="1" applyAlignment="1">
      <alignment vertical="center"/>
    </xf>
    <xf numFmtId="0" fontId="7" fillId="0" borderId="0" xfId="0" applyFont="1" applyAlignment="1">
      <alignment horizontal="center" vertical="center"/>
    </xf>
    <xf numFmtId="0" fontId="3" fillId="0" borderId="0" xfId="0" applyFont="1" applyAlignment="1">
      <alignment vertical="center"/>
    </xf>
    <xf numFmtId="0" fontId="2" fillId="0" borderId="7" xfId="0" applyFont="1" applyBorder="1"/>
    <xf numFmtId="0" fontId="2" fillId="0" borderId="7" xfId="0" applyFont="1" applyBorder="1" applyAlignment="1">
      <alignment horizontal="center"/>
    </xf>
    <xf numFmtId="0" fontId="2" fillId="0" borderId="8" xfId="0" applyFont="1" applyBorder="1" applyAlignment="1">
      <alignment horizontal="center"/>
    </xf>
    <xf numFmtId="0" fontId="0" fillId="0" borderId="7" xfId="0" applyBorder="1"/>
    <xf numFmtId="0" fontId="2" fillId="0" borderId="10" xfId="0" applyFont="1" applyBorder="1" applyAlignment="1">
      <alignment horizontal="center"/>
    </xf>
    <xf numFmtId="0" fontId="2" fillId="0" borderId="10" xfId="0" applyFont="1" applyBorder="1"/>
    <xf numFmtId="0" fontId="1" fillId="0" borderId="11" xfId="0" applyFont="1" applyBorder="1"/>
    <xf numFmtId="0" fontId="0" fillId="0" borderId="12" xfId="0" applyBorder="1"/>
    <xf numFmtId="0" fontId="0" fillId="0" borderId="13" xfId="0" applyBorder="1"/>
    <xf numFmtId="0" fontId="0" fillId="0" borderId="15" xfId="0" applyBorder="1"/>
    <xf numFmtId="0" fontId="0" fillId="0" borderId="14" xfId="0" applyBorder="1"/>
    <xf numFmtId="0" fontId="0" fillId="0" borderId="17" xfId="0" applyBorder="1"/>
    <xf numFmtId="0" fontId="2" fillId="0" borderId="18"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wrapText="1"/>
    </xf>
    <xf numFmtId="0" fontId="3" fillId="0" borderId="5" xfId="0" applyFont="1" applyBorder="1" applyAlignment="1">
      <alignment horizontal="center" vertical="center"/>
    </xf>
    <xf numFmtId="0" fontId="2" fillId="0" borderId="4" xfId="0" applyFont="1" applyBorder="1" applyAlignment="1">
      <alignment horizontal="center"/>
    </xf>
    <xf numFmtId="0" fontId="2" fillId="0" borderId="8" xfId="0" applyFont="1" applyBorder="1" applyAlignment="1">
      <alignment wrapText="1"/>
    </xf>
    <xf numFmtId="0" fontId="3" fillId="0" borderId="16" xfId="0" applyFont="1" applyBorder="1" applyAlignment="1">
      <alignment horizontal="center"/>
    </xf>
    <xf numFmtId="0" fontId="2" fillId="0" borderId="16" xfId="0" applyFont="1" applyBorder="1" applyAlignment="1">
      <alignment horizontal="center"/>
    </xf>
    <xf numFmtId="0" fontId="2" fillId="0" borderId="16" xfId="0" applyFont="1" applyBorder="1" applyAlignment="1">
      <alignment horizontal="center" vertical="center"/>
    </xf>
    <xf numFmtId="0" fontId="2" fillId="0" borderId="20" xfId="0" applyFont="1" applyBorder="1" applyAlignment="1">
      <alignment horizontal="center"/>
    </xf>
    <xf numFmtId="0" fontId="0" fillId="0" borderId="0" xfId="0"/>
    <xf numFmtId="0" fontId="1" fillId="0" borderId="7" xfId="0" applyFont="1" applyFill="1" applyBorder="1"/>
    <xf numFmtId="0" fontId="0" fillId="0" borderId="7" xfId="0" applyFill="1" applyBorder="1"/>
    <xf numFmtId="0" fontId="7" fillId="0" borderId="7" xfId="0" applyFont="1" applyFill="1" applyBorder="1" applyAlignment="1">
      <alignment horizontal="center" vertical="center"/>
    </xf>
    <xf numFmtId="0" fontId="3" fillId="0" borderId="7" xfId="0" applyFont="1" applyFill="1" applyBorder="1" applyAlignment="1">
      <alignment vertical="center"/>
    </xf>
    <xf numFmtId="0" fontId="3" fillId="2" borderId="1" xfId="0" applyFont="1" applyFill="1" applyBorder="1" applyAlignment="1">
      <alignment horizontal="center"/>
    </xf>
    <xf numFmtId="0" fontId="4" fillId="0" borderId="2" xfId="0" applyFont="1" applyBorder="1"/>
    <xf numFmtId="0" fontId="2" fillId="0" borderId="0" xfId="0" applyFont="1" applyAlignment="1">
      <alignment horizontal="left" wrapText="1"/>
    </xf>
    <xf numFmtId="0" fontId="0" fillId="0" borderId="0" xfId="0"/>
    <xf numFmtId="0" fontId="9" fillId="3" borderId="14" xfId="0" applyFont="1" applyFill="1" applyBorder="1" applyAlignment="1">
      <alignment horizontal="left" vertical="center" wrapText="1"/>
    </xf>
    <xf numFmtId="0" fontId="0" fillId="0" borderId="7" xfId="0" applyBorder="1"/>
    <xf numFmtId="0" fontId="0" fillId="0" borderId="15" xfId="0" applyBorder="1"/>
    <xf numFmtId="0" fontId="0" fillId="0" borderId="14" xfId="0" applyBorder="1"/>
    <xf numFmtId="0" fontId="2" fillId="0" borderId="5" xfId="0" applyFont="1" applyBorder="1" applyAlignment="1">
      <alignment horizontal="left"/>
    </xf>
    <xf numFmtId="0" fontId="2" fillId="0" borderId="9"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000"/>
  <sheetViews>
    <sheetView workbookViewId="0">
      <selection activeCell="B12" sqref="B12:G12"/>
    </sheetView>
  </sheetViews>
  <sheetFormatPr defaultColWidth="14.42578125" defaultRowHeight="15" customHeight="1" x14ac:dyDescent="0.25"/>
  <cols>
    <col min="1" max="1" width="8.85546875" customWidth="1"/>
    <col min="2" max="2" width="26.140625" customWidth="1"/>
    <col min="3" max="3" width="40.7109375" customWidth="1"/>
    <col min="4" max="4" width="18.7109375" customWidth="1"/>
    <col min="5" max="26" width="8.85546875" customWidth="1"/>
  </cols>
  <sheetData>
    <row r="1" spans="2:7" ht="14.25" customHeight="1" x14ac:dyDescent="0.25">
      <c r="B1" s="1"/>
      <c r="C1" s="1"/>
      <c r="D1" s="1"/>
    </row>
    <row r="2" spans="2:7" ht="14.25" customHeight="1" x14ac:dyDescent="0.25">
      <c r="B2" s="48" t="s">
        <v>0</v>
      </c>
      <c r="C2" s="49"/>
      <c r="D2" s="1"/>
    </row>
    <row r="3" spans="2:7" ht="14.25" customHeight="1" x14ac:dyDescent="0.25">
      <c r="B3" s="1" t="s">
        <v>1</v>
      </c>
      <c r="C3" s="2" t="s">
        <v>2</v>
      </c>
      <c r="D3" s="1"/>
    </row>
    <row r="4" spans="2:7" ht="14.25" customHeight="1" x14ac:dyDescent="0.25">
      <c r="B4" s="1" t="s">
        <v>3</v>
      </c>
      <c r="C4" s="3" t="s">
        <v>4</v>
      </c>
      <c r="D4" s="1"/>
    </row>
    <row r="5" spans="2:7" ht="14.25" customHeight="1" x14ac:dyDescent="0.25">
      <c r="B5" s="1"/>
      <c r="C5" s="1"/>
      <c r="D5" s="1"/>
    </row>
    <row r="6" spans="2:7" ht="14.25" customHeight="1" x14ac:dyDescent="0.25">
      <c r="B6" s="23" t="s">
        <v>5</v>
      </c>
      <c r="C6" s="23" t="s">
        <v>6</v>
      </c>
      <c r="D6" s="23" t="s">
        <v>7</v>
      </c>
    </row>
    <row r="7" spans="2:7" ht="14.25" customHeight="1" x14ac:dyDescent="0.25">
      <c r="B7" s="23" t="s">
        <v>1</v>
      </c>
      <c r="C7" s="23">
        <v>0</v>
      </c>
      <c r="D7" s="23">
        <v>2</v>
      </c>
    </row>
    <row r="8" spans="2:7" ht="14.25" customHeight="1" x14ac:dyDescent="0.25">
      <c r="B8" s="23" t="s">
        <v>8</v>
      </c>
      <c r="C8" s="23">
        <v>1500</v>
      </c>
      <c r="D8" s="23">
        <v>3.5</v>
      </c>
    </row>
    <row r="9" spans="2:7" ht="14.25" customHeight="1" x14ac:dyDescent="0.25">
      <c r="B9" s="1"/>
      <c r="C9" s="1"/>
      <c r="D9" s="1"/>
    </row>
    <row r="10" spans="2:7" ht="14.25" customHeight="1" x14ac:dyDescent="0.25">
      <c r="B10" s="1"/>
      <c r="C10" s="1"/>
      <c r="D10" s="1"/>
    </row>
    <row r="11" spans="2:7" ht="14.25" customHeight="1" x14ac:dyDescent="0.25">
      <c r="B11" s="1"/>
      <c r="C11" s="1"/>
      <c r="D11" s="1"/>
    </row>
    <row r="12" spans="2:7" ht="45.75" customHeight="1" x14ac:dyDescent="0.25">
      <c r="B12" s="50" t="s">
        <v>9</v>
      </c>
      <c r="C12" s="51"/>
      <c r="D12" s="51"/>
      <c r="E12" s="51"/>
      <c r="F12" s="51"/>
      <c r="G12" s="51"/>
    </row>
    <row r="13" spans="2:7" ht="14.25" customHeight="1" x14ac:dyDescent="0.25">
      <c r="B13" s="1"/>
      <c r="C13" s="1"/>
      <c r="D13" s="1"/>
    </row>
    <row r="14" spans="2:7" ht="14.25" customHeight="1" x14ac:dyDescent="0.25">
      <c r="B14" s="1"/>
      <c r="C14" s="1"/>
      <c r="D14" s="1"/>
    </row>
    <row r="15" spans="2:7" ht="14.25" customHeight="1" x14ac:dyDescent="0.25">
      <c r="B15" s="1"/>
      <c r="C15" s="1"/>
      <c r="D15" s="1"/>
    </row>
    <row r="16" spans="2:7" ht="14.25" customHeight="1" x14ac:dyDescent="0.25">
      <c r="B16" s="1"/>
      <c r="C16" s="1"/>
      <c r="D16" s="1"/>
    </row>
    <row r="17" spans="2:4" ht="14.25" customHeight="1" x14ac:dyDescent="0.25">
      <c r="B17" s="1"/>
      <c r="C17" s="1"/>
      <c r="D17" s="1"/>
    </row>
    <row r="18" spans="2:4" ht="14.25" customHeight="1" x14ac:dyDescent="0.25">
      <c r="B18" s="1"/>
      <c r="C18" s="1"/>
      <c r="D18" s="1"/>
    </row>
    <row r="19" spans="2:4" ht="14.25" customHeight="1" x14ac:dyDescent="0.25">
      <c r="B19" s="1"/>
      <c r="C19" s="1"/>
      <c r="D19" s="1"/>
    </row>
    <row r="20" spans="2:4" ht="14.25" customHeight="1" x14ac:dyDescent="0.25">
      <c r="B20" s="1"/>
      <c r="C20" s="1"/>
      <c r="D20" s="1"/>
    </row>
    <row r="21" spans="2:4" ht="14.25" customHeight="1" x14ac:dyDescent="0.25">
      <c r="B21" s="1"/>
      <c r="C21" s="1"/>
      <c r="D21" s="1"/>
    </row>
    <row r="22" spans="2:4" ht="14.25" customHeight="1" x14ac:dyDescent="0.25">
      <c r="B22" s="1"/>
      <c r="C22" s="1"/>
      <c r="D22" s="1"/>
    </row>
    <row r="23" spans="2:4" ht="14.25" customHeight="1" x14ac:dyDescent="0.25">
      <c r="B23" s="1"/>
      <c r="C23" s="1"/>
      <c r="D23" s="1"/>
    </row>
    <row r="24" spans="2:4" ht="14.25" customHeight="1" x14ac:dyDescent="0.25">
      <c r="B24" s="1"/>
      <c r="C24" s="1"/>
      <c r="D24" s="1"/>
    </row>
    <row r="25" spans="2:4" ht="14.25" customHeight="1" x14ac:dyDescent="0.25">
      <c r="B25" s="1"/>
      <c r="C25" s="1"/>
      <c r="D25" s="1"/>
    </row>
    <row r="26" spans="2:4" ht="14.25" customHeight="1" x14ac:dyDescent="0.25">
      <c r="B26" s="1"/>
      <c r="C26" s="1"/>
      <c r="D26" s="1"/>
    </row>
    <row r="27" spans="2:4" ht="14.25" customHeight="1" x14ac:dyDescent="0.25">
      <c r="B27" s="1"/>
      <c r="C27" s="1"/>
      <c r="D27" s="1"/>
    </row>
    <row r="28" spans="2:4" ht="14.25" customHeight="1" x14ac:dyDescent="0.25">
      <c r="B28" s="1"/>
      <c r="C28" s="1"/>
      <c r="D28" s="1"/>
    </row>
    <row r="29" spans="2:4" ht="14.25" customHeight="1" x14ac:dyDescent="0.25">
      <c r="B29" s="1"/>
      <c r="C29" s="1"/>
      <c r="D29" s="1"/>
    </row>
    <row r="30" spans="2:4" ht="14.25" customHeight="1" x14ac:dyDescent="0.25">
      <c r="B30" s="1"/>
      <c r="C30" s="1"/>
      <c r="D30" s="1"/>
    </row>
    <row r="31" spans="2:4" ht="14.25" customHeight="1" x14ac:dyDescent="0.25">
      <c r="B31" s="1"/>
      <c r="C31" s="1"/>
      <c r="D31" s="1"/>
    </row>
    <row r="32" spans="2:4" ht="14.25" customHeight="1" x14ac:dyDescent="0.25">
      <c r="B32" s="1"/>
      <c r="C32" s="1"/>
      <c r="D32" s="1"/>
    </row>
    <row r="33" spans="2:4" ht="14.25" customHeight="1" x14ac:dyDescent="0.25">
      <c r="B33" s="1"/>
      <c r="C33" s="1"/>
      <c r="D33" s="1"/>
    </row>
    <row r="34" spans="2:4" ht="14.25" customHeight="1" x14ac:dyDescent="0.25">
      <c r="B34" s="1"/>
      <c r="C34" s="1"/>
      <c r="D34" s="1"/>
    </row>
    <row r="35" spans="2:4" ht="14.25" customHeight="1" x14ac:dyDescent="0.25">
      <c r="B35" s="1"/>
      <c r="C35" s="1"/>
      <c r="D35" s="1"/>
    </row>
    <row r="36" spans="2:4" ht="14.25" customHeight="1" x14ac:dyDescent="0.25">
      <c r="B36" s="1"/>
      <c r="C36" s="1"/>
      <c r="D36" s="1"/>
    </row>
    <row r="37" spans="2:4" ht="14.25" customHeight="1" x14ac:dyDescent="0.25">
      <c r="B37" s="1"/>
      <c r="C37" s="1"/>
      <c r="D37" s="1"/>
    </row>
    <row r="38" spans="2:4" ht="14.25" customHeight="1" x14ac:dyDescent="0.25">
      <c r="B38" s="1"/>
      <c r="C38" s="1"/>
      <c r="D38" s="1"/>
    </row>
    <row r="39" spans="2:4" ht="14.25" customHeight="1" x14ac:dyDescent="0.25">
      <c r="B39" s="1"/>
      <c r="C39" s="1"/>
      <c r="D39" s="1"/>
    </row>
    <row r="40" spans="2:4" ht="14.25" customHeight="1" x14ac:dyDescent="0.25">
      <c r="B40" s="1"/>
      <c r="C40" s="1"/>
      <c r="D40" s="1"/>
    </row>
    <row r="41" spans="2:4" ht="14.25" customHeight="1" x14ac:dyDescent="0.25">
      <c r="B41" s="1"/>
      <c r="C41" s="1"/>
      <c r="D41" s="1"/>
    </row>
    <row r="42" spans="2:4" ht="14.25" customHeight="1" x14ac:dyDescent="0.25">
      <c r="B42" s="1"/>
      <c r="C42" s="1"/>
      <c r="D42" s="1"/>
    </row>
    <row r="43" spans="2:4" ht="14.25" customHeight="1" x14ac:dyDescent="0.25">
      <c r="B43" s="1"/>
      <c r="C43" s="1"/>
      <c r="D43" s="1"/>
    </row>
    <row r="44" spans="2:4" ht="14.25" customHeight="1" x14ac:dyDescent="0.25">
      <c r="B44" s="1"/>
      <c r="C44" s="1"/>
      <c r="D44" s="1"/>
    </row>
    <row r="45" spans="2:4" ht="14.25" customHeight="1" x14ac:dyDescent="0.25">
      <c r="B45" s="1"/>
      <c r="C45" s="1"/>
      <c r="D45" s="1"/>
    </row>
    <row r="46" spans="2:4" ht="14.25" customHeight="1" x14ac:dyDescent="0.25">
      <c r="B46" s="1"/>
      <c r="C46" s="1"/>
      <c r="D46" s="1"/>
    </row>
    <row r="47" spans="2:4" ht="14.25" customHeight="1" x14ac:dyDescent="0.25">
      <c r="B47" s="1"/>
      <c r="C47" s="1"/>
      <c r="D47" s="1"/>
    </row>
    <row r="48" spans="2:4" ht="14.25" customHeight="1" x14ac:dyDescent="0.25">
      <c r="B48" s="1"/>
      <c r="C48" s="1"/>
      <c r="D48" s="1"/>
    </row>
    <row r="49" spans="2:4" ht="14.25" customHeight="1" x14ac:dyDescent="0.25">
      <c r="B49" s="1"/>
      <c r="C49" s="1"/>
      <c r="D49" s="1"/>
    </row>
    <row r="50" spans="2:4" ht="14.25" customHeight="1" x14ac:dyDescent="0.25">
      <c r="B50" s="1"/>
      <c r="C50" s="1"/>
      <c r="D50" s="1"/>
    </row>
    <row r="51" spans="2:4" ht="14.25" customHeight="1" x14ac:dyDescent="0.25">
      <c r="B51" s="1"/>
      <c r="C51" s="1"/>
      <c r="D51" s="1"/>
    </row>
    <row r="52" spans="2:4" ht="14.25" customHeight="1" x14ac:dyDescent="0.25">
      <c r="B52" s="1"/>
      <c r="C52" s="1"/>
      <c r="D52" s="1"/>
    </row>
    <row r="53" spans="2:4" ht="14.25" customHeight="1" x14ac:dyDescent="0.25">
      <c r="B53" s="1"/>
      <c r="C53" s="1"/>
      <c r="D53" s="1"/>
    </row>
    <row r="54" spans="2:4" ht="14.25" customHeight="1" x14ac:dyDescent="0.25">
      <c r="B54" s="1"/>
      <c r="C54" s="1"/>
      <c r="D54" s="1"/>
    </row>
    <row r="55" spans="2:4" ht="14.25" customHeight="1" x14ac:dyDescent="0.25">
      <c r="B55" s="1"/>
      <c r="C55" s="1"/>
      <c r="D55" s="1"/>
    </row>
    <row r="56" spans="2:4" ht="14.25" customHeight="1" x14ac:dyDescent="0.25">
      <c r="B56" s="1"/>
      <c r="C56" s="1"/>
      <c r="D56" s="1"/>
    </row>
    <row r="57" spans="2:4" ht="14.25" customHeight="1" x14ac:dyDescent="0.25">
      <c r="B57" s="1"/>
      <c r="C57" s="1"/>
      <c r="D57" s="1"/>
    </row>
    <row r="58" spans="2:4" ht="14.25" customHeight="1" x14ac:dyDescent="0.25">
      <c r="B58" s="1"/>
      <c r="C58" s="1"/>
      <c r="D58" s="1"/>
    </row>
    <row r="59" spans="2:4" ht="14.25" customHeight="1" x14ac:dyDescent="0.25">
      <c r="B59" s="1"/>
      <c r="C59" s="1"/>
      <c r="D59" s="1"/>
    </row>
    <row r="60" spans="2:4" ht="14.25" customHeight="1" x14ac:dyDescent="0.25">
      <c r="B60" s="1"/>
      <c r="C60" s="1"/>
      <c r="D60" s="1"/>
    </row>
    <row r="61" spans="2:4" ht="14.25" customHeight="1" x14ac:dyDescent="0.25">
      <c r="B61" s="1"/>
      <c r="C61" s="1"/>
      <c r="D61" s="1"/>
    </row>
    <row r="62" spans="2:4" ht="14.25" customHeight="1" x14ac:dyDescent="0.25">
      <c r="B62" s="1"/>
      <c r="C62" s="1"/>
      <c r="D62" s="1"/>
    </row>
    <row r="63" spans="2:4" ht="14.25" customHeight="1" x14ac:dyDescent="0.25">
      <c r="B63" s="1"/>
      <c r="C63" s="1"/>
      <c r="D63" s="1"/>
    </row>
    <row r="64" spans="2:4" ht="14.25" customHeight="1" x14ac:dyDescent="0.25">
      <c r="B64" s="1"/>
      <c r="C64" s="1"/>
      <c r="D64" s="1"/>
    </row>
    <row r="65" spans="2:4" ht="14.25" customHeight="1" x14ac:dyDescent="0.25">
      <c r="B65" s="1"/>
      <c r="C65" s="1"/>
      <c r="D65" s="1"/>
    </row>
    <row r="66" spans="2:4" ht="14.25" customHeight="1" x14ac:dyDescent="0.25">
      <c r="B66" s="1"/>
      <c r="C66" s="1"/>
      <c r="D66" s="1"/>
    </row>
    <row r="67" spans="2:4" ht="14.25" customHeight="1" x14ac:dyDescent="0.25">
      <c r="B67" s="1"/>
      <c r="C67" s="1"/>
      <c r="D67" s="1"/>
    </row>
    <row r="68" spans="2:4" ht="14.25" customHeight="1" x14ac:dyDescent="0.25">
      <c r="B68" s="1"/>
      <c r="C68" s="1"/>
      <c r="D68" s="1"/>
    </row>
    <row r="69" spans="2:4" ht="14.25" customHeight="1" x14ac:dyDescent="0.25">
      <c r="B69" s="1"/>
      <c r="C69" s="1"/>
      <c r="D69" s="1"/>
    </row>
    <row r="70" spans="2:4" ht="14.25" customHeight="1" x14ac:dyDescent="0.25">
      <c r="B70" s="1"/>
      <c r="C70" s="1"/>
      <c r="D70" s="1"/>
    </row>
    <row r="71" spans="2:4" ht="14.25" customHeight="1" x14ac:dyDescent="0.25">
      <c r="B71" s="1"/>
      <c r="C71" s="1"/>
      <c r="D71" s="1"/>
    </row>
    <row r="72" spans="2:4" ht="14.25" customHeight="1" x14ac:dyDescent="0.25">
      <c r="B72" s="1"/>
      <c r="C72" s="1"/>
      <c r="D72" s="1"/>
    </row>
    <row r="73" spans="2:4" ht="14.25" customHeight="1" x14ac:dyDescent="0.25">
      <c r="B73" s="1"/>
      <c r="C73" s="1"/>
      <c r="D73" s="1"/>
    </row>
    <row r="74" spans="2:4" ht="14.25" customHeight="1" x14ac:dyDescent="0.25">
      <c r="B74" s="1"/>
      <c r="C74" s="1"/>
      <c r="D74" s="1"/>
    </row>
    <row r="75" spans="2:4" ht="14.25" customHeight="1" x14ac:dyDescent="0.25">
      <c r="B75" s="1"/>
      <c r="C75" s="1"/>
      <c r="D75" s="1"/>
    </row>
    <row r="76" spans="2:4" ht="14.25" customHeight="1" x14ac:dyDescent="0.25">
      <c r="B76" s="1"/>
      <c r="C76" s="1"/>
      <c r="D76" s="1"/>
    </row>
    <row r="77" spans="2:4" ht="14.25" customHeight="1" x14ac:dyDescent="0.25">
      <c r="B77" s="1"/>
      <c r="C77" s="1"/>
      <c r="D77" s="1"/>
    </row>
    <row r="78" spans="2:4" ht="14.25" customHeight="1" x14ac:dyDescent="0.25">
      <c r="B78" s="1"/>
      <c r="C78" s="1"/>
      <c r="D78" s="1"/>
    </row>
    <row r="79" spans="2:4" ht="14.25" customHeight="1" x14ac:dyDescent="0.25">
      <c r="B79" s="1"/>
      <c r="C79" s="1"/>
      <c r="D79" s="1"/>
    </row>
    <row r="80" spans="2:4" ht="14.25" customHeight="1" x14ac:dyDescent="0.25">
      <c r="B80" s="1"/>
      <c r="C80" s="1"/>
      <c r="D80" s="1"/>
    </row>
    <row r="81" spans="2:4" ht="14.25" customHeight="1" x14ac:dyDescent="0.25">
      <c r="B81" s="1"/>
      <c r="C81" s="1"/>
      <c r="D81" s="1"/>
    </row>
    <row r="82" spans="2:4" ht="14.25" customHeight="1" x14ac:dyDescent="0.25">
      <c r="B82" s="1"/>
      <c r="C82" s="1"/>
      <c r="D82" s="1"/>
    </row>
    <row r="83" spans="2:4" ht="14.25" customHeight="1" x14ac:dyDescent="0.25">
      <c r="B83" s="1"/>
      <c r="C83" s="1"/>
      <c r="D83" s="1"/>
    </row>
    <row r="84" spans="2:4" ht="14.25" customHeight="1" x14ac:dyDescent="0.25">
      <c r="B84" s="1"/>
      <c r="C84" s="1"/>
      <c r="D84" s="1"/>
    </row>
    <row r="85" spans="2:4" ht="14.25" customHeight="1" x14ac:dyDescent="0.25">
      <c r="B85" s="1"/>
      <c r="C85" s="1"/>
      <c r="D85" s="1"/>
    </row>
    <row r="86" spans="2:4" ht="14.25" customHeight="1" x14ac:dyDescent="0.25">
      <c r="B86" s="1"/>
      <c r="C86" s="1"/>
      <c r="D86" s="1"/>
    </row>
    <row r="87" spans="2:4" ht="14.25" customHeight="1" x14ac:dyDescent="0.25">
      <c r="B87" s="1"/>
      <c r="C87" s="1"/>
      <c r="D87" s="1"/>
    </row>
    <row r="88" spans="2:4" ht="14.25" customHeight="1" x14ac:dyDescent="0.25">
      <c r="B88" s="1"/>
      <c r="C88" s="1"/>
      <c r="D88" s="1"/>
    </row>
    <row r="89" spans="2:4" ht="14.25" customHeight="1" x14ac:dyDescent="0.25">
      <c r="B89" s="1"/>
      <c r="C89" s="1"/>
      <c r="D89" s="1"/>
    </row>
    <row r="90" spans="2:4" ht="14.25" customHeight="1" x14ac:dyDescent="0.25">
      <c r="B90" s="1"/>
      <c r="C90" s="1"/>
      <c r="D90" s="1"/>
    </row>
    <row r="91" spans="2:4" ht="14.25" customHeight="1" x14ac:dyDescent="0.25">
      <c r="B91" s="1"/>
      <c r="C91" s="1"/>
      <c r="D91" s="1"/>
    </row>
    <row r="92" spans="2:4" ht="14.25" customHeight="1" x14ac:dyDescent="0.25">
      <c r="B92" s="1"/>
      <c r="C92" s="1"/>
      <c r="D92" s="1"/>
    </row>
    <row r="93" spans="2:4" ht="14.25" customHeight="1" x14ac:dyDescent="0.25">
      <c r="B93" s="1"/>
      <c r="C93" s="1"/>
      <c r="D93" s="1"/>
    </row>
    <row r="94" spans="2:4" ht="14.25" customHeight="1" x14ac:dyDescent="0.25">
      <c r="B94" s="1"/>
      <c r="C94" s="1"/>
      <c r="D94" s="1"/>
    </row>
    <row r="95" spans="2:4" ht="14.25" customHeight="1" x14ac:dyDescent="0.25">
      <c r="B95" s="1"/>
      <c r="C95" s="1"/>
      <c r="D95" s="1"/>
    </row>
    <row r="96" spans="2:4" ht="14.25" customHeight="1" x14ac:dyDescent="0.25">
      <c r="B96" s="1"/>
      <c r="C96" s="1"/>
      <c r="D96" s="1"/>
    </row>
    <row r="97" spans="2:4" ht="14.25" customHeight="1" x14ac:dyDescent="0.25">
      <c r="B97" s="1"/>
      <c r="C97" s="1"/>
      <c r="D97" s="1"/>
    </row>
    <row r="98" spans="2:4" ht="14.25" customHeight="1" x14ac:dyDescent="0.25">
      <c r="B98" s="1"/>
      <c r="C98" s="1"/>
      <c r="D98" s="1"/>
    </row>
    <row r="99" spans="2:4" ht="14.25" customHeight="1" x14ac:dyDescent="0.25">
      <c r="B99" s="1"/>
      <c r="C99" s="1"/>
      <c r="D99" s="1"/>
    </row>
    <row r="100" spans="2:4" ht="14.25" customHeight="1" x14ac:dyDescent="0.25">
      <c r="B100" s="1"/>
      <c r="C100" s="1"/>
      <c r="D100" s="1"/>
    </row>
    <row r="101" spans="2:4" ht="14.25" customHeight="1" x14ac:dyDescent="0.25">
      <c r="B101" s="1"/>
      <c r="C101" s="1"/>
      <c r="D101" s="1"/>
    </row>
    <row r="102" spans="2:4" ht="14.25" customHeight="1" x14ac:dyDescent="0.25">
      <c r="B102" s="1"/>
      <c r="C102" s="1"/>
      <c r="D102" s="1"/>
    </row>
    <row r="103" spans="2:4" ht="14.25" customHeight="1" x14ac:dyDescent="0.25">
      <c r="B103" s="1"/>
      <c r="C103" s="1"/>
      <c r="D103" s="1"/>
    </row>
    <row r="104" spans="2:4" ht="14.25" customHeight="1" x14ac:dyDescent="0.25">
      <c r="B104" s="1"/>
      <c r="C104" s="1"/>
      <c r="D104" s="1"/>
    </row>
    <row r="105" spans="2:4" ht="14.25" customHeight="1" x14ac:dyDescent="0.25">
      <c r="B105" s="1"/>
      <c r="C105" s="1"/>
      <c r="D105" s="1"/>
    </row>
    <row r="106" spans="2:4" ht="14.25" customHeight="1" x14ac:dyDescent="0.25">
      <c r="B106" s="1"/>
      <c r="C106" s="1"/>
      <c r="D106" s="1"/>
    </row>
    <row r="107" spans="2:4" ht="14.25" customHeight="1" x14ac:dyDescent="0.25">
      <c r="B107" s="1"/>
      <c r="C107" s="1"/>
      <c r="D107" s="1"/>
    </row>
    <row r="108" spans="2:4" ht="14.25" customHeight="1" x14ac:dyDescent="0.25">
      <c r="B108" s="1"/>
      <c r="C108" s="1"/>
      <c r="D108" s="1"/>
    </row>
    <row r="109" spans="2:4" ht="14.25" customHeight="1" x14ac:dyDescent="0.25">
      <c r="B109" s="1"/>
      <c r="C109" s="1"/>
      <c r="D109" s="1"/>
    </row>
    <row r="110" spans="2:4" ht="14.25" customHeight="1" x14ac:dyDescent="0.25">
      <c r="B110" s="1"/>
      <c r="C110" s="1"/>
      <c r="D110" s="1"/>
    </row>
    <row r="111" spans="2:4" ht="14.25" customHeight="1" x14ac:dyDescent="0.25">
      <c r="B111" s="1"/>
      <c r="C111" s="1"/>
      <c r="D111" s="1"/>
    </row>
    <row r="112" spans="2:4" ht="14.25" customHeight="1" x14ac:dyDescent="0.25">
      <c r="B112" s="1"/>
      <c r="C112" s="1"/>
      <c r="D112" s="1"/>
    </row>
    <row r="113" spans="2:4" ht="14.25" customHeight="1" x14ac:dyDescent="0.25">
      <c r="B113" s="1"/>
      <c r="C113" s="1"/>
      <c r="D113" s="1"/>
    </row>
    <row r="114" spans="2:4" ht="14.25" customHeight="1" x14ac:dyDescent="0.25">
      <c r="B114" s="1"/>
      <c r="C114" s="1"/>
      <c r="D114" s="1"/>
    </row>
    <row r="115" spans="2:4" ht="14.25" customHeight="1" x14ac:dyDescent="0.25">
      <c r="B115" s="1"/>
      <c r="C115" s="1"/>
      <c r="D115" s="1"/>
    </row>
    <row r="116" spans="2:4" ht="14.25" customHeight="1" x14ac:dyDescent="0.25">
      <c r="B116" s="1"/>
      <c r="C116" s="1"/>
      <c r="D116" s="1"/>
    </row>
    <row r="117" spans="2:4" ht="14.25" customHeight="1" x14ac:dyDescent="0.25">
      <c r="B117" s="1"/>
      <c r="C117" s="1"/>
      <c r="D117" s="1"/>
    </row>
    <row r="118" spans="2:4" ht="14.25" customHeight="1" x14ac:dyDescent="0.25">
      <c r="B118" s="1"/>
      <c r="C118" s="1"/>
      <c r="D118" s="1"/>
    </row>
    <row r="119" spans="2:4" ht="14.25" customHeight="1" x14ac:dyDescent="0.25">
      <c r="B119" s="1"/>
      <c r="C119" s="1"/>
      <c r="D119" s="1"/>
    </row>
    <row r="120" spans="2:4" ht="14.25" customHeight="1" x14ac:dyDescent="0.25">
      <c r="B120" s="1"/>
      <c r="C120" s="1"/>
      <c r="D120" s="1"/>
    </row>
    <row r="121" spans="2:4" ht="14.25" customHeight="1" x14ac:dyDescent="0.25">
      <c r="B121" s="1"/>
      <c r="C121" s="1"/>
      <c r="D121" s="1"/>
    </row>
    <row r="122" spans="2:4" ht="14.25" customHeight="1" x14ac:dyDescent="0.25">
      <c r="B122" s="1"/>
      <c r="C122" s="1"/>
      <c r="D122" s="1"/>
    </row>
    <row r="123" spans="2:4" ht="14.25" customHeight="1" x14ac:dyDescent="0.25">
      <c r="B123" s="1"/>
      <c r="C123" s="1"/>
      <c r="D123" s="1"/>
    </row>
    <row r="124" spans="2:4" ht="14.25" customHeight="1" x14ac:dyDescent="0.25">
      <c r="B124" s="1"/>
      <c r="C124" s="1"/>
      <c r="D124" s="1"/>
    </row>
    <row r="125" spans="2:4" ht="14.25" customHeight="1" x14ac:dyDescent="0.25">
      <c r="B125" s="1"/>
      <c r="C125" s="1"/>
      <c r="D125" s="1"/>
    </row>
    <row r="126" spans="2:4" ht="14.25" customHeight="1" x14ac:dyDescent="0.25">
      <c r="B126" s="1"/>
      <c r="C126" s="1"/>
      <c r="D126" s="1"/>
    </row>
    <row r="127" spans="2:4" ht="14.25" customHeight="1" x14ac:dyDescent="0.25">
      <c r="B127" s="1"/>
      <c r="C127" s="1"/>
      <c r="D127" s="1"/>
    </row>
    <row r="128" spans="2:4" ht="14.25" customHeight="1" x14ac:dyDescent="0.25">
      <c r="B128" s="1"/>
      <c r="C128" s="1"/>
      <c r="D128" s="1"/>
    </row>
    <row r="129" spans="2:4" ht="14.25" customHeight="1" x14ac:dyDescent="0.25">
      <c r="B129" s="1"/>
      <c r="C129" s="1"/>
      <c r="D129" s="1"/>
    </row>
    <row r="130" spans="2:4" ht="14.25" customHeight="1" x14ac:dyDescent="0.25">
      <c r="B130" s="1"/>
      <c r="C130" s="1"/>
      <c r="D130" s="1"/>
    </row>
    <row r="131" spans="2:4" ht="14.25" customHeight="1" x14ac:dyDescent="0.25">
      <c r="B131" s="1"/>
      <c r="C131" s="1"/>
      <c r="D131" s="1"/>
    </row>
    <row r="132" spans="2:4" ht="14.25" customHeight="1" x14ac:dyDescent="0.25">
      <c r="B132" s="1"/>
      <c r="C132" s="1"/>
      <c r="D132" s="1"/>
    </row>
    <row r="133" spans="2:4" ht="14.25" customHeight="1" x14ac:dyDescent="0.25">
      <c r="B133" s="1"/>
      <c r="C133" s="1"/>
      <c r="D133" s="1"/>
    </row>
    <row r="134" spans="2:4" ht="14.25" customHeight="1" x14ac:dyDescent="0.25">
      <c r="B134" s="1"/>
      <c r="C134" s="1"/>
      <c r="D134" s="1"/>
    </row>
    <row r="135" spans="2:4" ht="14.25" customHeight="1" x14ac:dyDescent="0.25">
      <c r="B135" s="1"/>
      <c r="C135" s="1"/>
      <c r="D135" s="1"/>
    </row>
    <row r="136" spans="2:4" ht="14.25" customHeight="1" x14ac:dyDescent="0.25">
      <c r="B136" s="1"/>
      <c r="C136" s="1"/>
      <c r="D136" s="1"/>
    </row>
    <row r="137" spans="2:4" ht="14.25" customHeight="1" x14ac:dyDescent="0.25">
      <c r="B137" s="1"/>
      <c r="C137" s="1"/>
      <c r="D137" s="1"/>
    </row>
    <row r="138" spans="2:4" ht="14.25" customHeight="1" x14ac:dyDescent="0.25">
      <c r="B138" s="1"/>
      <c r="C138" s="1"/>
      <c r="D138" s="1"/>
    </row>
    <row r="139" spans="2:4" ht="14.25" customHeight="1" x14ac:dyDescent="0.25">
      <c r="B139" s="1"/>
      <c r="C139" s="1"/>
      <c r="D139" s="1"/>
    </row>
    <row r="140" spans="2:4" ht="14.25" customHeight="1" x14ac:dyDescent="0.25">
      <c r="B140" s="1"/>
      <c r="C140" s="1"/>
      <c r="D140" s="1"/>
    </row>
    <row r="141" spans="2:4" ht="14.25" customHeight="1" x14ac:dyDescent="0.25">
      <c r="B141" s="1"/>
      <c r="C141" s="1"/>
      <c r="D141" s="1"/>
    </row>
    <row r="142" spans="2:4" ht="14.25" customHeight="1" x14ac:dyDescent="0.25">
      <c r="B142" s="1"/>
      <c r="C142" s="1"/>
      <c r="D142" s="1"/>
    </row>
    <row r="143" spans="2:4" ht="14.25" customHeight="1" x14ac:dyDescent="0.25">
      <c r="B143" s="1"/>
      <c r="C143" s="1"/>
      <c r="D143" s="1"/>
    </row>
    <row r="144" spans="2:4" ht="14.25" customHeight="1" x14ac:dyDescent="0.25">
      <c r="B144" s="1"/>
      <c r="C144" s="1"/>
      <c r="D144" s="1"/>
    </row>
    <row r="145" spans="2:4" ht="14.25" customHeight="1" x14ac:dyDescent="0.25">
      <c r="B145" s="1"/>
      <c r="C145" s="1"/>
      <c r="D145" s="1"/>
    </row>
    <row r="146" spans="2:4" ht="14.25" customHeight="1" x14ac:dyDescent="0.25">
      <c r="B146" s="1"/>
      <c r="C146" s="1"/>
      <c r="D146" s="1"/>
    </row>
    <row r="147" spans="2:4" ht="14.25" customHeight="1" x14ac:dyDescent="0.25">
      <c r="B147" s="1"/>
      <c r="C147" s="1"/>
      <c r="D147" s="1"/>
    </row>
    <row r="148" spans="2:4" ht="14.25" customHeight="1" x14ac:dyDescent="0.25">
      <c r="B148" s="1"/>
      <c r="C148" s="1"/>
      <c r="D148" s="1"/>
    </row>
    <row r="149" spans="2:4" ht="14.25" customHeight="1" x14ac:dyDescent="0.25">
      <c r="B149" s="1"/>
      <c r="C149" s="1"/>
      <c r="D149" s="1"/>
    </row>
    <row r="150" spans="2:4" ht="14.25" customHeight="1" x14ac:dyDescent="0.25">
      <c r="B150" s="1"/>
      <c r="C150" s="1"/>
      <c r="D150" s="1"/>
    </row>
    <row r="151" spans="2:4" ht="14.25" customHeight="1" x14ac:dyDescent="0.25">
      <c r="B151" s="1"/>
      <c r="C151" s="1"/>
      <c r="D151" s="1"/>
    </row>
    <row r="152" spans="2:4" ht="14.25" customHeight="1" x14ac:dyDescent="0.25">
      <c r="B152" s="1"/>
      <c r="C152" s="1"/>
      <c r="D152" s="1"/>
    </row>
    <row r="153" spans="2:4" ht="14.25" customHeight="1" x14ac:dyDescent="0.25">
      <c r="B153" s="1"/>
      <c r="C153" s="1"/>
      <c r="D153" s="1"/>
    </row>
    <row r="154" spans="2:4" ht="14.25" customHeight="1" x14ac:dyDescent="0.25">
      <c r="B154" s="1"/>
      <c r="C154" s="1"/>
      <c r="D154" s="1"/>
    </row>
    <row r="155" spans="2:4" ht="14.25" customHeight="1" x14ac:dyDescent="0.25">
      <c r="B155" s="1"/>
      <c r="C155" s="1"/>
      <c r="D155" s="1"/>
    </row>
    <row r="156" spans="2:4" ht="14.25" customHeight="1" x14ac:dyDescent="0.25">
      <c r="B156" s="1"/>
      <c r="C156" s="1"/>
      <c r="D156" s="1"/>
    </row>
    <row r="157" spans="2:4" ht="14.25" customHeight="1" x14ac:dyDescent="0.25">
      <c r="B157" s="1"/>
      <c r="C157" s="1"/>
      <c r="D157" s="1"/>
    </row>
    <row r="158" spans="2:4" ht="14.25" customHeight="1" x14ac:dyDescent="0.25">
      <c r="B158" s="1"/>
      <c r="C158" s="1"/>
      <c r="D158" s="1"/>
    </row>
    <row r="159" spans="2:4" ht="14.25" customHeight="1" x14ac:dyDescent="0.25">
      <c r="B159" s="1"/>
      <c r="C159" s="1"/>
      <c r="D159" s="1"/>
    </row>
    <row r="160" spans="2:4" ht="14.25" customHeight="1" x14ac:dyDescent="0.25">
      <c r="B160" s="1"/>
      <c r="C160" s="1"/>
      <c r="D160" s="1"/>
    </row>
    <row r="161" spans="2:4" ht="14.25" customHeight="1" x14ac:dyDescent="0.25">
      <c r="B161" s="1"/>
      <c r="C161" s="1"/>
      <c r="D161" s="1"/>
    </row>
    <row r="162" spans="2:4" ht="14.25" customHeight="1" x14ac:dyDescent="0.25">
      <c r="B162" s="1"/>
      <c r="C162" s="1"/>
      <c r="D162" s="1"/>
    </row>
    <row r="163" spans="2:4" ht="14.25" customHeight="1" x14ac:dyDescent="0.25">
      <c r="B163" s="1"/>
      <c r="C163" s="1"/>
      <c r="D163" s="1"/>
    </row>
    <row r="164" spans="2:4" ht="14.25" customHeight="1" x14ac:dyDescent="0.25">
      <c r="B164" s="1"/>
      <c r="C164" s="1"/>
      <c r="D164" s="1"/>
    </row>
    <row r="165" spans="2:4" ht="14.25" customHeight="1" x14ac:dyDescent="0.25">
      <c r="B165" s="1"/>
      <c r="C165" s="1"/>
      <c r="D165" s="1"/>
    </row>
    <row r="166" spans="2:4" ht="14.25" customHeight="1" x14ac:dyDescent="0.25">
      <c r="B166" s="1"/>
      <c r="C166" s="1"/>
      <c r="D166" s="1"/>
    </row>
    <row r="167" spans="2:4" ht="14.25" customHeight="1" x14ac:dyDescent="0.25">
      <c r="B167" s="1"/>
      <c r="C167" s="1"/>
      <c r="D167" s="1"/>
    </row>
    <row r="168" spans="2:4" ht="14.25" customHeight="1" x14ac:dyDescent="0.25">
      <c r="B168" s="1"/>
      <c r="C168" s="1"/>
      <c r="D168" s="1"/>
    </row>
    <row r="169" spans="2:4" ht="14.25" customHeight="1" x14ac:dyDescent="0.25">
      <c r="B169" s="1"/>
      <c r="C169" s="1"/>
      <c r="D169" s="1"/>
    </row>
    <row r="170" spans="2:4" ht="14.25" customHeight="1" x14ac:dyDescent="0.25">
      <c r="B170" s="1"/>
      <c r="C170" s="1"/>
      <c r="D170" s="1"/>
    </row>
    <row r="171" spans="2:4" ht="14.25" customHeight="1" x14ac:dyDescent="0.25">
      <c r="B171" s="1"/>
      <c r="C171" s="1"/>
      <c r="D171" s="1"/>
    </row>
    <row r="172" spans="2:4" ht="14.25" customHeight="1" x14ac:dyDescent="0.25">
      <c r="B172" s="1"/>
      <c r="C172" s="1"/>
      <c r="D172" s="1"/>
    </row>
    <row r="173" spans="2:4" ht="14.25" customHeight="1" x14ac:dyDescent="0.25">
      <c r="B173" s="1"/>
      <c r="C173" s="1"/>
      <c r="D173" s="1"/>
    </row>
    <row r="174" spans="2:4" ht="14.25" customHeight="1" x14ac:dyDescent="0.25">
      <c r="B174" s="1"/>
      <c r="C174" s="1"/>
      <c r="D174" s="1"/>
    </row>
    <row r="175" spans="2:4" ht="14.25" customHeight="1" x14ac:dyDescent="0.25">
      <c r="B175" s="1"/>
      <c r="C175" s="1"/>
      <c r="D175" s="1"/>
    </row>
    <row r="176" spans="2:4" ht="14.25" customHeight="1" x14ac:dyDescent="0.25">
      <c r="B176" s="1"/>
      <c r="C176" s="1"/>
      <c r="D176" s="1"/>
    </row>
    <row r="177" spans="2:4" ht="14.25" customHeight="1" x14ac:dyDescent="0.25">
      <c r="B177" s="1"/>
      <c r="C177" s="1"/>
      <c r="D177" s="1"/>
    </row>
    <row r="178" spans="2:4" ht="14.25" customHeight="1" x14ac:dyDescent="0.25">
      <c r="B178" s="1"/>
      <c r="C178" s="1"/>
      <c r="D178" s="1"/>
    </row>
    <row r="179" spans="2:4" ht="14.25" customHeight="1" x14ac:dyDescent="0.25">
      <c r="B179" s="1"/>
      <c r="C179" s="1"/>
      <c r="D179" s="1"/>
    </row>
    <row r="180" spans="2:4" ht="14.25" customHeight="1" x14ac:dyDescent="0.25">
      <c r="B180" s="1"/>
      <c r="C180" s="1"/>
      <c r="D180" s="1"/>
    </row>
    <row r="181" spans="2:4" ht="14.25" customHeight="1" x14ac:dyDescent="0.25">
      <c r="B181" s="1"/>
      <c r="C181" s="1"/>
      <c r="D181" s="1"/>
    </row>
    <row r="182" spans="2:4" ht="14.25" customHeight="1" x14ac:dyDescent="0.25">
      <c r="B182" s="1"/>
      <c r="C182" s="1"/>
      <c r="D182" s="1"/>
    </row>
    <row r="183" spans="2:4" ht="14.25" customHeight="1" x14ac:dyDescent="0.25">
      <c r="B183" s="1"/>
      <c r="C183" s="1"/>
      <c r="D183" s="1"/>
    </row>
    <row r="184" spans="2:4" ht="14.25" customHeight="1" x14ac:dyDescent="0.25">
      <c r="B184" s="1"/>
      <c r="C184" s="1"/>
      <c r="D184" s="1"/>
    </row>
    <row r="185" spans="2:4" ht="14.25" customHeight="1" x14ac:dyDescent="0.25">
      <c r="B185" s="1"/>
      <c r="C185" s="1"/>
      <c r="D185" s="1"/>
    </row>
    <row r="186" spans="2:4" ht="14.25" customHeight="1" x14ac:dyDescent="0.25">
      <c r="B186" s="1"/>
      <c r="C186" s="1"/>
      <c r="D186" s="1"/>
    </row>
    <row r="187" spans="2:4" ht="14.25" customHeight="1" x14ac:dyDescent="0.25">
      <c r="B187" s="1"/>
      <c r="C187" s="1"/>
      <c r="D187" s="1"/>
    </row>
    <row r="188" spans="2:4" ht="14.25" customHeight="1" x14ac:dyDescent="0.25">
      <c r="B188" s="1"/>
      <c r="C188" s="1"/>
      <c r="D188" s="1"/>
    </row>
    <row r="189" spans="2:4" ht="14.25" customHeight="1" x14ac:dyDescent="0.25">
      <c r="B189" s="1"/>
      <c r="C189" s="1"/>
      <c r="D189" s="1"/>
    </row>
    <row r="190" spans="2:4" ht="14.25" customHeight="1" x14ac:dyDescent="0.25">
      <c r="B190" s="1"/>
      <c r="C190" s="1"/>
      <c r="D190" s="1"/>
    </row>
    <row r="191" spans="2:4" ht="14.25" customHeight="1" x14ac:dyDescent="0.25">
      <c r="B191" s="1"/>
      <c r="C191" s="1"/>
      <c r="D191" s="1"/>
    </row>
    <row r="192" spans="2:4" ht="14.25" customHeight="1" x14ac:dyDescent="0.25">
      <c r="B192" s="1"/>
      <c r="C192" s="1"/>
      <c r="D192" s="1"/>
    </row>
    <row r="193" spans="2:4" ht="14.25" customHeight="1" x14ac:dyDescent="0.25">
      <c r="B193" s="1"/>
      <c r="C193" s="1"/>
      <c r="D193" s="1"/>
    </row>
    <row r="194" spans="2:4" ht="14.25" customHeight="1" x14ac:dyDescent="0.25">
      <c r="B194" s="1"/>
      <c r="C194" s="1"/>
      <c r="D194" s="1"/>
    </row>
    <row r="195" spans="2:4" ht="14.25" customHeight="1" x14ac:dyDescent="0.25">
      <c r="B195" s="1"/>
      <c r="C195" s="1"/>
      <c r="D195" s="1"/>
    </row>
    <row r="196" spans="2:4" ht="14.25" customHeight="1" x14ac:dyDescent="0.25">
      <c r="B196" s="1"/>
      <c r="C196" s="1"/>
      <c r="D196" s="1"/>
    </row>
    <row r="197" spans="2:4" ht="14.25" customHeight="1" x14ac:dyDescent="0.25">
      <c r="B197" s="1"/>
      <c r="C197" s="1"/>
      <c r="D197" s="1"/>
    </row>
    <row r="198" spans="2:4" ht="14.25" customHeight="1" x14ac:dyDescent="0.25">
      <c r="B198" s="1"/>
      <c r="C198" s="1"/>
      <c r="D198" s="1"/>
    </row>
    <row r="199" spans="2:4" ht="14.25" customHeight="1" x14ac:dyDescent="0.25">
      <c r="B199" s="1"/>
      <c r="C199" s="1"/>
      <c r="D199" s="1"/>
    </row>
    <row r="200" spans="2:4" ht="14.25" customHeight="1" x14ac:dyDescent="0.25">
      <c r="B200" s="1"/>
      <c r="C200" s="1"/>
      <c r="D200" s="1"/>
    </row>
    <row r="201" spans="2:4" ht="14.25" customHeight="1" x14ac:dyDescent="0.25">
      <c r="B201" s="1"/>
      <c r="C201" s="1"/>
      <c r="D201" s="1"/>
    </row>
    <row r="202" spans="2:4" ht="14.25" customHeight="1" x14ac:dyDescent="0.25">
      <c r="B202" s="1"/>
      <c r="C202" s="1"/>
      <c r="D202" s="1"/>
    </row>
    <row r="203" spans="2:4" ht="14.25" customHeight="1" x14ac:dyDescent="0.25">
      <c r="B203" s="1"/>
      <c r="C203" s="1"/>
      <c r="D203" s="1"/>
    </row>
    <row r="204" spans="2:4" ht="14.25" customHeight="1" x14ac:dyDescent="0.25">
      <c r="B204" s="1"/>
      <c r="C204" s="1"/>
      <c r="D204" s="1"/>
    </row>
    <row r="205" spans="2:4" ht="14.25" customHeight="1" x14ac:dyDescent="0.25">
      <c r="B205" s="1"/>
      <c r="C205" s="1"/>
      <c r="D205" s="1"/>
    </row>
    <row r="206" spans="2:4" ht="14.25" customHeight="1" x14ac:dyDescent="0.25">
      <c r="B206" s="1"/>
      <c r="C206" s="1"/>
      <c r="D206" s="1"/>
    </row>
    <row r="207" spans="2:4" ht="14.25" customHeight="1" x14ac:dyDescent="0.25">
      <c r="B207" s="1"/>
      <c r="C207" s="1"/>
      <c r="D207" s="1"/>
    </row>
    <row r="208" spans="2:4" ht="14.25" customHeight="1" x14ac:dyDescent="0.25">
      <c r="B208" s="1"/>
      <c r="C208" s="1"/>
      <c r="D208" s="1"/>
    </row>
    <row r="209" spans="2:4" ht="14.25" customHeight="1" x14ac:dyDescent="0.25">
      <c r="B209" s="1"/>
      <c r="C209" s="1"/>
      <c r="D209" s="1"/>
    </row>
    <row r="210" spans="2:4" ht="14.25" customHeight="1" x14ac:dyDescent="0.25">
      <c r="B210" s="1"/>
      <c r="C210" s="1"/>
      <c r="D210" s="1"/>
    </row>
    <row r="211" spans="2:4" ht="14.25" customHeight="1" x14ac:dyDescent="0.25">
      <c r="B211" s="1"/>
      <c r="C211" s="1"/>
      <c r="D211" s="1"/>
    </row>
    <row r="212" spans="2:4" ht="14.25" customHeight="1" x14ac:dyDescent="0.25">
      <c r="B212" s="1"/>
      <c r="C212" s="1"/>
      <c r="D212" s="1"/>
    </row>
    <row r="213" spans="2:4" ht="14.25" customHeight="1" x14ac:dyDescent="0.25">
      <c r="B213" s="1"/>
      <c r="C213" s="1"/>
      <c r="D213" s="1"/>
    </row>
    <row r="214" spans="2:4" ht="14.25" customHeight="1" x14ac:dyDescent="0.25">
      <c r="B214" s="1"/>
      <c r="C214" s="1"/>
      <c r="D214" s="1"/>
    </row>
    <row r="215" spans="2:4" ht="14.25" customHeight="1" x14ac:dyDescent="0.25">
      <c r="B215" s="1"/>
      <c r="C215" s="1"/>
      <c r="D215" s="1"/>
    </row>
    <row r="216" spans="2:4" ht="14.25" customHeight="1" x14ac:dyDescent="0.25">
      <c r="B216" s="1"/>
      <c r="C216" s="1"/>
      <c r="D216" s="1"/>
    </row>
    <row r="217" spans="2:4" ht="14.25" customHeight="1" x14ac:dyDescent="0.25">
      <c r="B217" s="1"/>
      <c r="C217" s="1"/>
      <c r="D217" s="1"/>
    </row>
    <row r="218" spans="2:4" ht="14.25" customHeight="1" x14ac:dyDescent="0.25">
      <c r="B218" s="1"/>
      <c r="C218" s="1"/>
      <c r="D218" s="1"/>
    </row>
    <row r="219" spans="2:4" ht="14.25" customHeight="1" x14ac:dyDescent="0.25">
      <c r="B219" s="1"/>
      <c r="C219" s="1"/>
      <c r="D219" s="1"/>
    </row>
    <row r="220" spans="2:4" ht="14.25" customHeight="1" x14ac:dyDescent="0.25">
      <c r="B220" s="1"/>
      <c r="C220" s="1"/>
      <c r="D220" s="1"/>
    </row>
    <row r="221" spans="2:4" ht="14.25" customHeight="1" x14ac:dyDescent="0.25">
      <c r="B221" s="1"/>
      <c r="C221" s="1"/>
      <c r="D221" s="1"/>
    </row>
    <row r="222" spans="2:4" ht="14.25" customHeight="1" x14ac:dyDescent="0.25">
      <c r="B222" s="1"/>
      <c r="C222" s="1"/>
      <c r="D222" s="1"/>
    </row>
    <row r="223" spans="2:4" ht="14.25" customHeight="1" x14ac:dyDescent="0.25">
      <c r="B223" s="1"/>
      <c r="C223" s="1"/>
      <c r="D223" s="1"/>
    </row>
    <row r="224" spans="2:4" ht="14.25" customHeight="1" x14ac:dyDescent="0.25">
      <c r="B224" s="1"/>
      <c r="C224" s="1"/>
      <c r="D224" s="1"/>
    </row>
    <row r="225" spans="2:4" ht="14.25" customHeight="1" x14ac:dyDescent="0.25">
      <c r="B225" s="1"/>
      <c r="C225" s="1"/>
      <c r="D225" s="1"/>
    </row>
    <row r="226" spans="2:4" ht="14.25" customHeight="1" x14ac:dyDescent="0.25">
      <c r="B226" s="1"/>
      <c r="C226" s="1"/>
      <c r="D226" s="1"/>
    </row>
    <row r="227" spans="2:4" ht="14.25" customHeight="1" x14ac:dyDescent="0.25">
      <c r="B227" s="1"/>
      <c r="C227" s="1"/>
      <c r="D227" s="1"/>
    </row>
    <row r="228" spans="2:4" ht="14.25" customHeight="1" x14ac:dyDescent="0.25">
      <c r="B228" s="1"/>
      <c r="C228" s="1"/>
      <c r="D228" s="1"/>
    </row>
    <row r="229" spans="2:4" ht="14.25" customHeight="1" x14ac:dyDescent="0.25">
      <c r="B229" s="1"/>
      <c r="C229" s="1"/>
      <c r="D229" s="1"/>
    </row>
    <row r="230" spans="2:4" ht="14.25" customHeight="1" x14ac:dyDescent="0.25">
      <c r="B230" s="1"/>
      <c r="C230" s="1"/>
      <c r="D230" s="1"/>
    </row>
    <row r="231" spans="2:4" ht="14.25" customHeight="1" x14ac:dyDescent="0.25">
      <c r="B231" s="1"/>
      <c r="C231" s="1"/>
      <c r="D231" s="1"/>
    </row>
    <row r="232" spans="2:4" ht="14.25" customHeight="1" x14ac:dyDescent="0.25">
      <c r="B232" s="1"/>
      <c r="C232" s="1"/>
      <c r="D232" s="1"/>
    </row>
    <row r="233" spans="2:4" ht="14.25" customHeight="1" x14ac:dyDescent="0.25">
      <c r="B233" s="1"/>
      <c r="C233" s="1"/>
      <c r="D233" s="1"/>
    </row>
    <row r="234" spans="2:4" ht="14.25" customHeight="1" x14ac:dyDescent="0.25">
      <c r="B234" s="1"/>
      <c r="C234" s="1"/>
      <c r="D234" s="1"/>
    </row>
    <row r="235" spans="2:4" ht="14.25" customHeight="1" x14ac:dyDescent="0.25">
      <c r="B235" s="1"/>
      <c r="C235" s="1"/>
      <c r="D235" s="1"/>
    </row>
    <row r="236" spans="2:4" ht="14.25" customHeight="1" x14ac:dyDescent="0.25">
      <c r="B236" s="1"/>
      <c r="C236" s="1"/>
      <c r="D236" s="1"/>
    </row>
    <row r="237" spans="2:4" ht="14.25" customHeight="1" x14ac:dyDescent="0.25">
      <c r="B237" s="1"/>
      <c r="C237" s="1"/>
      <c r="D237" s="1"/>
    </row>
    <row r="238" spans="2:4" ht="14.25" customHeight="1" x14ac:dyDescent="0.25">
      <c r="B238" s="1"/>
      <c r="C238" s="1"/>
      <c r="D238" s="1"/>
    </row>
    <row r="239" spans="2:4" ht="14.25" customHeight="1" x14ac:dyDescent="0.25">
      <c r="B239" s="1"/>
      <c r="C239" s="1"/>
      <c r="D239" s="1"/>
    </row>
    <row r="240" spans="2:4" ht="14.25" customHeight="1" x14ac:dyDescent="0.25">
      <c r="B240" s="1"/>
      <c r="C240" s="1"/>
      <c r="D240" s="1"/>
    </row>
    <row r="241" spans="2:4" ht="14.25" customHeight="1" x14ac:dyDescent="0.25">
      <c r="B241" s="1"/>
      <c r="C241" s="1"/>
      <c r="D241" s="1"/>
    </row>
    <row r="242" spans="2:4" ht="14.25" customHeight="1" x14ac:dyDescent="0.25">
      <c r="B242" s="1"/>
      <c r="C242" s="1"/>
      <c r="D242" s="1"/>
    </row>
    <row r="243" spans="2:4" ht="14.25" customHeight="1" x14ac:dyDescent="0.25">
      <c r="B243" s="1"/>
      <c r="C243" s="1"/>
      <c r="D243" s="1"/>
    </row>
    <row r="244" spans="2:4" ht="14.25" customHeight="1" x14ac:dyDescent="0.25">
      <c r="B244" s="1"/>
      <c r="C244" s="1"/>
      <c r="D244" s="1"/>
    </row>
    <row r="245" spans="2:4" ht="14.25" customHeight="1" x14ac:dyDescent="0.25">
      <c r="B245" s="1"/>
      <c r="C245" s="1"/>
      <c r="D245" s="1"/>
    </row>
    <row r="246" spans="2:4" ht="14.25" customHeight="1" x14ac:dyDescent="0.25">
      <c r="B246" s="1"/>
      <c r="C246" s="1"/>
      <c r="D246" s="1"/>
    </row>
    <row r="247" spans="2:4" ht="14.25" customHeight="1" x14ac:dyDescent="0.25">
      <c r="B247" s="1"/>
      <c r="C247" s="1"/>
      <c r="D247" s="1"/>
    </row>
    <row r="248" spans="2:4" ht="14.25" customHeight="1" x14ac:dyDescent="0.25">
      <c r="B248" s="1"/>
      <c r="C248" s="1"/>
      <c r="D248" s="1"/>
    </row>
    <row r="249" spans="2:4" ht="14.25" customHeight="1" x14ac:dyDescent="0.25">
      <c r="B249" s="1"/>
      <c r="C249" s="1"/>
      <c r="D249" s="1"/>
    </row>
    <row r="250" spans="2:4" ht="14.25" customHeight="1" x14ac:dyDescent="0.25">
      <c r="B250" s="1"/>
      <c r="C250" s="1"/>
      <c r="D250" s="1"/>
    </row>
    <row r="251" spans="2:4" ht="14.25" customHeight="1" x14ac:dyDescent="0.25">
      <c r="B251" s="1"/>
      <c r="C251" s="1"/>
      <c r="D251" s="1"/>
    </row>
    <row r="252" spans="2:4" ht="14.25" customHeight="1" x14ac:dyDescent="0.25">
      <c r="B252" s="1"/>
      <c r="C252" s="1"/>
      <c r="D252" s="1"/>
    </row>
    <row r="253" spans="2:4" ht="14.25" customHeight="1" x14ac:dyDescent="0.25">
      <c r="B253" s="1"/>
      <c r="C253" s="1"/>
      <c r="D253" s="1"/>
    </row>
    <row r="254" spans="2:4" ht="14.25" customHeight="1" x14ac:dyDescent="0.25">
      <c r="B254" s="1"/>
      <c r="C254" s="1"/>
      <c r="D254" s="1"/>
    </row>
    <row r="255" spans="2:4" ht="14.25" customHeight="1" x14ac:dyDescent="0.25">
      <c r="B255" s="1"/>
      <c r="C255" s="1"/>
      <c r="D255" s="1"/>
    </row>
    <row r="256" spans="2:4" ht="14.25" customHeight="1" x14ac:dyDescent="0.25">
      <c r="B256" s="1"/>
      <c r="C256" s="1"/>
      <c r="D256" s="1"/>
    </row>
    <row r="257" spans="2:4" ht="14.25" customHeight="1" x14ac:dyDescent="0.25">
      <c r="B257" s="1"/>
      <c r="C257" s="1"/>
      <c r="D257" s="1"/>
    </row>
    <row r="258" spans="2:4" ht="14.25" customHeight="1" x14ac:dyDescent="0.25">
      <c r="B258" s="1"/>
      <c r="C258" s="1"/>
      <c r="D258" s="1"/>
    </row>
    <row r="259" spans="2:4" ht="14.25" customHeight="1" x14ac:dyDescent="0.25">
      <c r="B259" s="1"/>
      <c r="C259" s="1"/>
      <c r="D259" s="1"/>
    </row>
    <row r="260" spans="2:4" ht="14.25" customHeight="1" x14ac:dyDescent="0.25">
      <c r="B260" s="1"/>
      <c r="C260" s="1"/>
      <c r="D260" s="1"/>
    </row>
    <row r="261" spans="2:4" ht="14.25" customHeight="1" x14ac:dyDescent="0.25">
      <c r="B261" s="1"/>
      <c r="C261" s="1"/>
      <c r="D261" s="1"/>
    </row>
    <row r="262" spans="2:4" ht="14.25" customHeight="1" x14ac:dyDescent="0.25">
      <c r="B262" s="1"/>
      <c r="C262" s="1"/>
      <c r="D262" s="1"/>
    </row>
    <row r="263" spans="2:4" ht="14.25" customHeight="1" x14ac:dyDescent="0.25">
      <c r="B263" s="1"/>
      <c r="C263" s="1"/>
      <c r="D263" s="1"/>
    </row>
    <row r="264" spans="2:4" ht="14.25" customHeight="1" x14ac:dyDescent="0.25">
      <c r="B264" s="1"/>
      <c r="C264" s="1"/>
      <c r="D264" s="1"/>
    </row>
    <row r="265" spans="2:4" ht="14.25" customHeight="1" x14ac:dyDescent="0.25">
      <c r="B265" s="1"/>
      <c r="C265" s="1"/>
      <c r="D265" s="1"/>
    </row>
    <row r="266" spans="2:4" ht="14.25" customHeight="1" x14ac:dyDescent="0.25">
      <c r="B266" s="1"/>
      <c r="C266" s="1"/>
      <c r="D266" s="1"/>
    </row>
    <row r="267" spans="2:4" ht="14.25" customHeight="1" x14ac:dyDescent="0.25">
      <c r="B267" s="1"/>
      <c r="C267" s="1"/>
      <c r="D267" s="1"/>
    </row>
    <row r="268" spans="2:4" ht="14.25" customHeight="1" x14ac:dyDescent="0.25">
      <c r="B268" s="1"/>
      <c r="C268" s="1"/>
      <c r="D268" s="1"/>
    </row>
    <row r="269" spans="2:4" ht="14.25" customHeight="1" x14ac:dyDescent="0.25">
      <c r="B269" s="1"/>
      <c r="C269" s="1"/>
      <c r="D269" s="1"/>
    </row>
    <row r="270" spans="2:4" ht="14.25" customHeight="1" x14ac:dyDescent="0.25">
      <c r="B270" s="1"/>
      <c r="C270" s="1"/>
      <c r="D270" s="1"/>
    </row>
    <row r="271" spans="2:4" ht="14.25" customHeight="1" x14ac:dyDescent="0.25">
      <c r="B271" s="1"/>
      <c r="C271" s="1"/>
      <c r="D271" s="1"/>
    </row>
    <row r="272" spans="2:4" ht="14.25" customHeight="1" x14ac:dyDescent="0.25">
      <c r="B272" s="1"/>
      <c r="C272" s="1"/>
      <c r="D272" s="1"/>
    </row>
    <row r="273" spans="2:4" ht="14.25" customHeight="1" x14ac:dyDescent="0.25">
      <c r="B273" s="1"/>
      <c r="C273" s="1"/>
      <c r="D273" s="1"/>
    </row>
    <row r="274" spans="2:4" ht="14.25" customHeight="1" x14ac:dyDescent="0.25">
      <c r="B274" s="1"/>
      <c r="C274" s="1"/>
      <c r="D274" s="1"/>
    </row>
    <row r="275" spans="2:4" ht="14.25" customHeight="1" x14ac:dyDescent="0.25">
      <c r="B275" s="1"/>
      <c r="C275" s="1"/>
      <c r="D275" s="1"/>
    </row>
    <row r="276" spans="2:4" ht="14.25" customHeight="1" x14ac:dyDescent="0.25">
      <c r="B276" s="1"/>
      <c r="C276" s="1"/>
      <c r="D276" s="1"/>
    </row>
    <row r="277" spans="2:4" ht="14.25" customHeight="1" x14ac:dyDescent="0.25">
      <c r="B277" s="1"/>
      <c r="C277" s="1"/>
      <c r="D277" s="1"/>
    </row>
    <row r="278" spans="2:4" ht="14.25" customHeight="1" x14ac:dyDescent="0.25">
      <c r="B278" s="1"/>
      <c r="C278" s="1"/>
      <c r="D278" s="1"/>
    </row>
    <row r="279" spans="2:4" ht="14.25" customHeight="1" x14ac:dyDescent="0.25">
      <c r="B279" s="1"/>
      <c r="C279" s="1"/>
      <c r="D279" s="1"/>
    </row>
    <row r="280" spans="2:4" ht="14.25" customHeight="1" x14ac:dyDescent="0.25">
      <c r="B280" s="1"/>
      <c r="C280" s="1"/>
      <c r="D280" s="1"/>
    </row>
    <row r="281" spans="2:4" ht="14.25" customHeight="1" x14ac:dyDescent="0.25">
      <c r="B281" s="1"/>
      <c r="C281" s="1"/>
      <c r="D281" s="1"/>
    </row>
    <row r="282" spans="2:4" ht="14.25" customHeight="1" x14ac:dyDescent="0.25">
      <c r="B282" s="1"/>
      <c r="C282" s="1"/>
      <c r="D282" s="1"/>
    </row>
    <row r="283" spans="2:4" ht="14.25" customHeight="1" x14ac:dyDescent="0.25">
      <c r="B283" s="1"/>
      <c r="C283" s="1"/>
      <c r="D283" s="1"/>
    </row>
    <row r="284" spans="2:4" ht="14.25" customHeight="1" x14ac:dyDescent="0.25">
      <c r="B284" s="1"/>
      <c r="C284" s="1"/>
      <c r="D284" s="1"/>
    </row>
    <row r="285" spans="2:4" ht="14.25" customHeight="1" x14ac:dyDescent="0.25">
      <c r="B285" s="1"/>
      <c r="C285" s="1"/>
      <c r="D285" s="1"/>
    </row>
    <row r="286" spans="2:4" ht="14.25" customHeight="1" x14ac:dyDescent="0.25">
      <c r="B286" s="1"/>
      <c r="C286" s="1"/>
      <c r="D286" s="1"/>
    </row>
    <row r="287" spans="2:4" ht="14.25" customHeight="1" x14ac:dyDescent="0.25">
      <c r="B287" s="1"/>
      <c r="C287" s="1"/>
      <c r="D287" s="1"/>
    </row>
    <row r="288" spans="2:4" ht="14.25" customHeight="1" x14ac:dyDescent="0.25">
      <c r="B288" s="1"/>
      <c r="C288" s="1"/>
      <c r="D288" s="1"/>
    </row>
    <row r="289" spans="2:4" ht="14.25" customHeight="1" x14ac:dyDescent="0.25">
      <c r="B289" s="1"/>
      <c r="C289" s="1"/>
      <c r="D289" s="1"/>
    </row>
    <row r="290" spans="2:4" ht="14.25" customHeight="1" x14ac:dyDescent="0.25">
      <c r="B290" s="1"/>
      <c r="C290" s="1"/>
      <c r="D290" s="1"/>
    </row>
    <row r="291" spans="2:4" ht="14.25" customHeight="1" x14ac:dyDescent="0.25">
      <c r="B291" s="1"/>
      <c r="C291" s="1"/>
      <c r="D291" s="1"/>
    </row>
    <row r="292" spans="2:4" ht="14.25" customHeight="1" x14ac:dyDescent="0.25">
      <c r="B292" s="1"/>
      <c r="C292" s="1"/>
      <c r="D292" s="1"/>
    </row>
    <row r="293" spans="2:4" ht="14.25" customHeight="1" x14ac:dyDescent="0.25">
      <c r="B293" s="1"/>
      <c r="C293" s="1"/>
      <c r="D293" s="1"/>
    </row>
    <row r="294" spans="2:4" ht="14.25" customHeight="1" x14ac:dyDescent="0.25">
      <c r="B294" s="1"/>
      <c r="C294" s="1"/>
      <c r="D294" s="1"/>
    </row>
    <row r="295" spans="2:4" ht="14.25" customHeight="1" x14ac:dyDescent="0.25">
      <c r="B295" s="1"/>
      <c r="C295" s="1"/>
      <c r="D295" s="1"/>
    </row>
    <row r="296" spans="2:4" ht="14.25" customHeight="1" x14ac:dyDescent="0.25">
      <c r="B296" s="1"/>
      <c r="C296" s="1"/>
      <c r="D296" s="1"/>
    </row>
    <row r="297" spans="2:4" ht="14.25" customHeight="1" x14ac:dyDescent="0.25">
      <c r="B297" s="1"/>
      <c r="C297" s="1"/>
      <c r="D297" s="1"/>
    </row>
    <row r="298" spans="2:4" ht="14.25" customHeight="1" x14ac:dyDescent="0.25">
      <c r="B298" s="1"/>
      <c r="C298" s="1"/>
      <c r="D298" s="1"/>
    </row>
    <row r="299" spans="2:4" ht="14.25" customHeight="1" x14ac:dyDescent="0.25">
      <c r="B299" s="1"/>
      <c r="C299" s="1"/>
      <c r="D299" s="1"/>
    </row>
    <row r="300" spans="2:4" ht="14.25" customHeight="1" x14ac:dyDescent="0.25">
      <c r="B300" s="1"/>
      <c r="C300" s="1"/>
      <c r="D300" s="1"/>
    </row>
    <row r="301" spans="2:4" ht="14.25" customHeight="1" x14ac:dyDescent="0.25">
      <c r="B301" s="1"/>
      <c r="C301" s="1"/>
      <c r="D301" s="1"/>
    </row>
    <row r="302" spans="2:4" ht="14.25" customHeight="1" x14ac:dyDescent="0.25">
      <c r="B302" s="1"/>
      <c r="C302" s="1"/>
      <c r="D302" s="1"/>
    </row>
    <row r="303" spans="2:4" ht="14.25" customHeight="1" x14ac:dyDescent="0.25">
      <c r="B303" s="1"/>
      <c r="C303" s="1"/>
      <c r="D303" s="1"/>
    </row>
    <row r="304" spans="2:4" ht="14.25" customHeight="1" x14ac:dyDescent="0.25">
      <c r="B304" s="1"/>
      <c r="C304" s="1"/>
      <c r="D304" s="1"/>
    </row>
    <row r="305" spans="2:4" ht="14.25" customHeight="1" x14ac:dyDescent="0.25">
      <c r="B305" s="1"/>
      <c r="C305" s="1"/>
      <c r="D305" s="1"/>
    </row>
    <row r="306" spans="2:4" ht="14.25" customHeight="1" x14ac:dyDescent="0.25">
      <c r="B306" s="1"/>
      <c r="C306" s="1"/>
      <c r="D306" s="1"/>
    </row>
    <row r="307" spans="2:4" ht="14.25" customHeight="1" x14ac:dyDescent="0.25">
      <c r="B307" s="1"/>
      <c r="C307" s="1"/>
      <c r="D307" s="1"/>
    </row>
    <row r="308" spans="2:4" ht="14.25" customHeight="1" x14ac:dyDescent="0.25">
      <c r="B308" s="1"/>
      <c r="C308" s="1"/>
      <c r="D308" s="1"/>
    </row>
    <row r="309" spans="2:4" ht="14.25" customHeight="1" x14ac:dyDescent="0.25">
      <c r="B309" s="1"/>
      <c r="C309" s="1"/>
      <c r="D309" s="1"/>
    </row>
    <row r="310" spans="2:4" ht="14.25" customHeight="1" x14ac:dyDescent="0.25">
      <c r="B310" s="1"/>
      <c r="C310" s="1"/>
      <c r="D310" s="1"/>
    </row>
    <row r="311" spans="2:4" ht="14.25" customHeight="1" x14ac:dyDescent="0.25">
      <c r="B311" s="1"/>
      <c r="C311" s="1"/>
      <c r="D311" s="1"/>
    </row>
    <row r="312" spans="2:4" ht="14.25" customHeight="1" x14ac:dyDescent="0.25">
      <c r="B312" s="1"/>
      <c r="C312" s="1"/>
      <c r="D312" s="1"/>
    </row>
    <row r="313" spans="2:4" ht="14.25" customHeight="1" x14ac:dyDescent="0.25">
      <c r="B313" s="1"/>
      <c r="C313" s="1"/>
      <c r="D313" s="1"/>
    </row>
    <row r="314" spans="2:4" ht="14.25" customHeight="1" x14ac:dyDescent="0.25">
      <c r="B314" s="1"/>
      <c r="C314" s="1"/>
      <c r="D314" s="1"/>
    </row>
    <row r="315" spans="2:4" ht="14.25" customHeight="1" x14ac:dyDescent="0.25">
      <c r="B315" s="1"/>
      <c r="C315" s="1"/>
      <c r="D315" s="1"/>
    </row>
    <row r="316" spans="2:4" ht="14.25" customHeight="1" x14ac:dyDescent="0.25">
      <c r="B316" s="1"/>
      <c r="C316" s="1"/>
      <c r="D316" s="1"/>
    </row>
    <row r="317" spans="2:4" ht="14.25" customHeight="1" x14ac:dyDescent="0.25">
      <c r="B317" s="1"/>
      <c r="C317" s="1"/>
      <c r="D317" s="1"/>
    </row>
    <row r="318" spans="2:4" ht="14.25" customHeight="1" x14ac:dyDescent="0.25">
      <c r="B318" s="1"/>
      <c r="C318" s="1"/>
      <c r="D318" s="1"/>
    </row>
    <row r="319" spans="2:4" ht="14.25" customHeight="1" x14ac:dyDescent="0.25">
      <c r="B319" s="1"/>
      <c r="C319" s="1"/>
      <c r="D319" s="1"/>
    </row>
    <row r="320" spans="2:4" ht="14.25" customHeight="1" x14ac:dyDescent="0.25">
      <c r="B320" s="1"/>
      <c r="C320" s="1"/>
      <c r="D320" s="1"/>
    </row>
    <row r="321" spans="2:4" ht="14.25" customHeight="1" x14ac:dyDescent="0.25">
      <c r="B321" s="1"/>
      <c r="C321" s="1"/>
      <c r="D321" s="1"/>
    </row>
    <row r="322" spans="2:4" ht="14.25" customHeight="1" x14ac:dyDescent="0.25">
      <c r="B322" s="1"/>
      <c r="C322" s="1"/>
      <c r="D322" s="1"/>
    </row>
    <row r="323" spans="2:4" ht="14.25" customHeight="1" x14ac:dyDescent="0.25">
      <c r="B323" s="1"/>
      <c r="C323" s="1"/>
      <c r="D323" s="1"/>
    </row>
    <row r="324" spans="2:4" ht="14.25" customHeight="1" x14ac:dyDescent="0.25">
      <c r="B324" s="1"/>
      <c r="C324" s="1"/>
      <c r="D324" s="1"/>
    </row>
    <row r="325" spans="2:4" ht="14.25" customHeight="1" x14ac:dyDescent="0.25">
      <c r="B325" s="1"/>
      <c r="C325" s="1"/>
      <c r="D325" s="1"/>
    </row>
    <row r="326" spans="2:4" ht="14.25" customHeight="1" x14ac:dyDescent="0.25">
      <c r="B326" s="1"/>
      <c r="C326" s="1"/>
      <c r="D326" s="1"/>
    </row>
    <row r="327" spans="2:4" ht="14.25" customHeight="1" x14ac:dyDescent="0.25">
      <c r="B327" s="1"/>
      <c r="C327" s="1"/>
      <c r="D327" s="1"/>
    </row>
    <row r="328" spans="2:4" ht="14.25" customHeight="1" x14ac:dyDescent="0.25">
      <c r="B328" s="1"/>
      <c r="C328" s="1"/>
      <c r="D328" s="1"/>
    </row>
    <row r="329" spans="2:4" ht="14.25" customHeight="1" x14ac:dyDescent="0.25">
      <c r="B329" s="1"/>
      <c r="C329" s="1"/>
      <c r="D329" s="1"/>
    </row>
    <row r="330" spans="2:4" ht="14.25" customHeight="1" x14ac:dyDescent="0.25">
      <c r="B330" s="1"/>
      <c r="C330" s="1"/>
      <c r="D330" s="1"/>
    </row>
    <row r="331" spans="2:4" ht="14.25" customHeight="1" x14ac:dyDescent="0.25">
      <c r="B331" s="1"/>
      <c r="C331" s="1"/>
      <c r="D331" s="1"/>
    </row>
    <row r="332" spans="2:4" ht="14.25" customHeight="1" x14ac:dyDescent="0.25">
      <c r="B332" s="1"/>
      <c r="C332" s="1"/>
      <c r="D332" s="1"/>
    </row>
    <row r="333" spans="2:4" ht="14.25" customHeight="1" x14ac:dyDescent="0.25">
      <c r="B333" s="1"/>
      <c r="C333" s="1"/>
      <c r="D333" s="1"/>
    </row>
    <row r="334" spans="2:4" ht="14.25" customHeight="1" x14ac:dyDescent="0.25">
      <c r="B334" s="1"/>
      <c r="C334" s="1"/>
      <c r="D334" s="1"/>
    </row>
    <row r="335" spans="2:4" ht="14.25" customHeight="1" x14ac:dyDescent="0.25">
      <c r="B335" s="1"/>
      <c r="C335" s="1"/>
      <c r="D335" s="1"/>
    </row>
    <row r="336" spans="2:4" ht="14.25" customHeight="1" x14ac:dyDescent="0.25">
      <c r="B336" s="1"/>
      <c r="C336" s="1"/>
      <c r="D336" s="1"/>
    </row>
    <row r="337" spans="2:4" ht="14.25" customHeight="1" x14ac:dyDescent="0.25">
      <c r="B337" s="1"/>
      <c r="C337" s="1"/>
      <c r="D337" s="1"/>
    </row>
    <row r="338" spans="2:4" ht="14.25" customHeight="1" x14ac:dyDescent="0.25">
      <c r="B338" s="1"/>
      <c r="C338" s="1"/>
      <c r="D338" s="1"/>
    </row>
    <row r="339" spans="2:4" ht="14.25" customHeight="1" x14ac:dyDescent="0.25">
      <c r="B339" s="1"/>
      <c r="C339" s="1"/>
      <c r="D339" s="1"/>
    </row>
    <row r="340" spans="2:4" ht="14.25" customHeight="1" x14ac:dyDescent="0.25">
      <c r="B340" s="1"/>
      <c r="C340" s="1"/>
      <c r="D340" s="1"/>
    </row>
    <row r="341" spans="2:4" ht="14.25" customHeight="1" x14ac:dyDescent="0.25">
      <c r="B341" s="1"/>
      <c r="C341" s="1"/>
      <c r="D341" s="1"/>
    </row>
    <row r="342" spans="2:4" ht="14.25" customHeight="1" x14ac:dyDescent="0.25">
      <c r="B342" s="1"/>
      <c r="C342" s="1"/>
      <c r="D342" s="1"/>
    </row>
    <row r="343" spans="2:4" ht="14.25" customHeight="1" x14ac:dyDescent="0.25">
      <c r="B343" s="1"/>
      <c r="C343" s="1"/>
      <c r="D343" s="1"/>
    </row>
    <row r="344" spans="2:4" ht="14.25" customHeight="1" x14ac:dyDescent="0.25">
      <c r="B344" s="1"/>
      <c r="C344" s="1"/>
      <c r="D344" s="1"/>
    </row>
    <row r="345" spans="2:4" ht="14.25" customHeight="1" x14ac:dyDescent="0.25">
      <c r="B345" s="1"/>
      <c r="C345" s="1"/>
      <c r="D345" s="1"/>
    </row>
    <row r="346" spans="2:4" ht="14.25" customHeight="1" x14ac:dyDescent="0.25">
      <c r="B346" s="1"/>
      <c r="C346" s="1"/>
      <c r="D346" s="1"/>
    </row>
    <row r="347" spans="2:4" ht="14.25" customHeight="1" x14ac:dyDescent="0.25">
      <c r="B347" s="1"/>
      <c r="C347" s="1"/>
      <c r="D347" s="1"/>
    </row>
    <row r="348" spans="2:4" ht="14.25" customHeight="1" x14ac:dyDescent="0.25">
      <c r="B348" s="1"/>
      <c r="C348" s="1"/>
      <c r="D348" s="1"/>
    </row>
    <row r="349" spans="2:4" ht="14.25" customHeight="1" x14ac:dyDescent="0.25">
      <c r="B349" s="1"/>
      <c r="C349" s="1"/>
      <c r="D349" s="1"/>
    </row>
    <row r="350" spans="2:4" ht="14.25" customHeight="1" x14ac:dyDescent="0.25">
      <c r="B350" s="1"/>
      <c r="C350" s="1"/>
      <c r="D350" s="1"/>
    </row>
    <row r="351" spans="2:4" ht="14.25" customHeight="1" x14ac:dyDescent="0.25">
      <c r="B351" s="1"/>
      <c r="C351" s="1"/>
      <c r="D351" s="1"/>
    </row>
    <row r="352" spans="2:4" ht="14.25" customHeight="1" x14ac:dyDescent="0.25">
      <c r="B352" s="1"/>
      <c r="C352" s="1"/>
      <c r="D352" s="1"/>
    </row>
    <row r="353" spans="2:4" ht="14.25" customHeight="1" x14ac:dyDescent="0.25">
      <c r="B353" s="1"/>
      <c r="C353" s="1"/>
      <c r="D353" s="1"/>
    </row>
    <row r="354" spans="2:4" ht="14.25" customHeight="1" x14ac:dyDescent="0.25">
      <c r="B354" s="1"/>
      <c r="C354" s="1"/>
      <c r="D354" s="1"/>
    </row>
    <row r="355" spans="2:4" ht="14.25" customHeight="1" x14ac:dyDescent="0.25">
      <c r="B355" s="1"/>
      <c r="C355" s="1"/>
      <c r="D355" s="1"/>
    </row>
    <row r="356" spans="2:4" ht="14.25" customHeight="1" x14ac:dyDescent="0.25">
      <c r="B356" s="1"/>
      <c r="C356" s="1"/>
      <c r="D356" s="1"/>
    </row>
    <row r="357" spans="2:4" ht="14.25" customHeight="1" x14ac:dyDescent="0.25">
      <c r="B357" s="1"/>
      <c r="C357" s="1"/>
      <c r="D357" s="1"/>
    </row>
    <row r="358" spans="2:4" ht="14.25" customHeight="1" x14ac:dyDescent="0.25">
      <c r="B358" s="1"/>
      <c r="C358" s="1"/>
      <c r="D358" s="1"/>
    </row>
    <row r="359" spans="2:4" ht="14.25" customHeight="1" x14ac:dyDescent="0.25">
      <c r="B359" s="1"/>
      <c r="C359" s="1"/>
      <c r="D359" s="1"/>
    </row>
    <row r="360" spans="2:4" ht="14.25" customHeight="1" x14ac:dyDescent="0.25">
      <c r="B360" s="1"/>
      <c r="C360" s="1"/>
      <c r="D360" s="1"/>
    </row>
    <row r="361" spans="2:4" ht="14.25" customHeight="1" x14ac:dyDescent="0.25">
      <c r="B361" s="1"/>
      <c r="C361" s="1"/>
      <c r="D361" s="1"/>
    </row>
    <row r="362" spans="2:4" ht="14.25" customHeight="1" x14ac:dyDescent="0.25">
      <c r="B362" s="1"/>
      <c r="C362" s="1"/>
      <c r="D362" s="1"/>
    </row>
    <row r="363" spans="2:4" ht="14.25" customHeight="1" x14ac:dyDescent="0.25">
      <c r="B363" s="1"/>
      <c r="C363" s="1"/>
      <c r="D363" s="1"/>
    </row>
    <row r="364" spans="2:4" ht="14.25" customHeight="1" x14ac:dyDescent="0.25">
      <c r="B364" s="1"/>
      <c r="C364" s="1"/>
      <c r="D364" s="1"/>
    </row>
    <row r="365" spans="2:4" ht="14.25" customHeight="1" x14ac:dyDescent="0.25">
      <c r="B365" s="1"/>
      <c r="C365" s="1"/>
      <c r="D365" s="1"/>
    </row>
    <row r="366" spans="2:4" ht="14.25" customHeight="1" x14ac:dyDescent="0.25">
      <c r="B366" s="1"/>
      <c r="C366" s="1"/>
      <c r="D366" s="1"/>
    </row>
    <row r="367" spans="2:4" ht="14.25" customHeight="1" x14ac:dyDescent="0.25">
      <c r="B367" s="1"/>
      <c r="C367" s="1"/>
      <c r="D367" s="1"/>
    </row>
    <row r="368" spans="2:4" ht="14.25" customHeight="1" x14ac:dyDescent="0.25">
      <c r="B368" s="1"/>
      <c r="C368" s="1"/>
      <c r="D368" s="1"/>
    </row>
    <row r="369" spans="2:4" ht="14.25" customHeight="1" x14ac:dyDescent="0.25">
      <c r="B369" s="1"/>
      <c r="C369" s="1"/>
      <c r="D369" s="1"/>
    </row>
    <row r="370" spans="2:4" ht="14.25" customHeight="1" x14ac:dyDescent="0.25">
      <c r="B370" s="1"/>
      <c r="C370" s="1"/>
      <c r="D370" s="1"/>
    </row>
    <row r="371" spans="2:4" ht="14.25" customHeight="1" x14ac:dyDescent="0.25">
      <c r="B371" s="1"/>
      <c r="C371" s="1"/>
      <c r="D371" s="1"/>
    </row>
    <row r="372" spans="2:4" ht="14.25" customHeight="1" x14ac:dyDescent="0.25">
      <c r="B372" s="1"/>
      <c r="C372" s="1"/>
      <c r="D372" s="1"/>
    </row>
    <row r="373" spans="2:4" ht="14.25" customHeight="1" x14ac:dyDescent="0.25">
      <c r="B373" s="1"/>
      <c r="C373" s="1"/>
      <c r="D373" s="1"/>
    </row>
    <row r="374" spans="2:4" ht="14.25" customHeight="1" x14ac:dyDescent="0.25">
      <c r="B374" s="1"/>
      <c r="C374" s="1"/>
      <c r="D374" s="1"/>
    </row>
    <row r="375" spans="2:4" ht="14.25" customHeight="1" x14ac:dyDescent="0.25">
      <c r="B375" s="1"/>
      <c r="C375" s="1"/>
      <c r="D375" s="1"/>
    </row>
    <row r="376" spans="2:4" ht="14.25" customHeight="1" x14ac:dyDescent="0.25">
      <c r="B376" s="1"/>
      <c r="C376" s="1"/>
      <c r="D376" s="1"/>
    </row>
    <row r="377" spans="2:4" ht="14.25" customHeight="1" x14ac:dyDescent="0.25">
      <c r="B377" s="1"/>
      <c r="C377" s="1"/>
      <c r="D377" s="1"/>
    </row>
    <row r="378" spans="2:4" ht="14.25" customHeight="1" x14ac:dyDescent="0.25">
      <c r="B378" s="1"/>
      <c r="C378" s="1"/>
      <c r="D378" s="1"/>
    </row>
    <row r="379" spans="2:4" ht="14.25" customHeight="1" x14ac:dyDescent="0.25">
      <c r="B379" s="1"/>
      <c r="C379" s="1"/>
      <c r="D379" s="1"/>
    </row>
    <row r="380" spans="2:4" ht="14.25" customHeight="1" x14ac:dyDescent="0.25">
      <c r="B380" s="1"/>
      <c r="C380" s="1"/>
      <c r="D380" s="1"/>
    </row>
    <row r="381" spans="2:4" ht="14.25" customHeight="1" x14ac:dyDescent="0.25">
      <c r="B381" s="1"/>
      <c r="C381" s="1"/>
      <c r="D381" s="1"/>
    </row>
    <row r="382" spans="2:4" ht="14.25" customHeight="1" x14ac:dyDescent="0.25">
      <c r="B382" s="1"/>
      <c r="C382" s="1"/>
      <c r="D382" s="1"/>
    </row>
    <row r="383" spans="2:4" ht="14.25" customHeight="1" x14ac:dyDescent="0.25">
      <c r="B383" s="1"/>
      <c r="C383" s="1"/>
      <c r="D383" s="1"/>
    </row>
    <row r="384" spans="2:4" ht="14.25" customHeight="1" x14ac:dyDescent="0.25">
      <c r="B384" s="1"/>
      <c r="C384" s="1"/>
      <c r="D384" s="1"/>
    </row>
    <row r="385" spans="2:4" ht="14.25" customHeight="1" x14ac:dyDescent="0.25">
      <c r="B385" s="1"/>
      <c r="C385" s="1"/>
      <c r="D385" s="1"/>
    </row>
    <row r="386" spans="2:4" ht="14.25" customHeight="1" x14ac:dyDescent="0.25">
      <c r="B386" s="1"/>
      <c r="C386" s="1"/>
      <c r="D386" s="1"/>
    </row>
    <row r="387" spans="2:4" ht="14.25" customHeight="1" x14ac:dyDescent="0.25">
      <c r="B387" s="1"/>
      <c r="C387" s="1"/>
      <c r="D387" s="1"/>
    </row>
    <row r="388" spans="2:4" ht="14.25" customHeight="1" x14ac:dyDescent="0.25">
      <c r="B388" s="1"/>
      <c r="C388" s="1"/>
      <c r="D388" s="1"/>
    </row>
    <row r="389" spans="2:4" ht="14.25" customHeight="1" x14ac:dyDescent="0.25">
      <c r="B389" s="1"/>
      <c r="C389" s="1"/>
      <c r="D389" s="1"/>
    </row>
    <row r="390" spans="2:4" ht="14.25" customHeight="1" x14ac:dyDescent="0.25">
      <c r="B390" s="1"/>
      <c r="C390" s="1"/>
      <c r="D390" s="1"/>
    </row>
    <row r="391" spans="2:4" ht="14.25" customHeight="1" x14ac:dyDescent="0.25">
      <c r="B391" s="1"/>
      <c r="C391" s="1"/>
      <c r="D391" s="1"/>
    </row>
    <row r="392" spans="2:4" ht="14.25" customHeight="1" x14ac:dyDescent="0.25">
      <c r="B392" s="1"/>
      <c r="C392" s="1"/>
      <c r="D392" s="1"/>
    </row>
    <row r="393" spans="2:4" ht="14.25" customHeight="1" x14ac:dyDescent="0.25">
      <c r="B393" s="1"/>
      <c r="C393" s="1"/>
      <c r="D393" s="1"/>
    </row>
    <row r="394" spans="2:4" ht="14.25" customHeight="1" x14ac:dyDescent="0.25">
      <c r="B394" s="1"/>
      <c r="C394" s="1"/>
      <c r="D394" s="1"/>
    </row>
    <row r="395" spans="2:4" ht="14.25" customHeight="1" x14ac:dyDescent="0.25">
      <c r="B395" s="1"/>
      <c r="C395" s="1"/>
      <c r="D395" s="1"/>
    </row>
    <row r="396" spans="2:4" ht="14.25" customHeight="1" x14ac:dyDescent="0.25">
      <c r="B396" s="1"/>
      <c r="C396" s="1"/>
      <c r="D396" s="1"/>
    </row>
    <row r="397" spans="2:4" ht="14.25" customHeight="1" x14ac:dyDescent="0.25">
      <c r="B397" s="1"/>
      <c r="C397" s="1"/>
      <c r="D397" s="1"/>
    </row>
    <row r="398" spans="2:4" ht="14.25" customHeight="1" x14ac:dyDescent="0.25">
      <c r="B398" s="1"/>
      <c r="C398" s="1"/>
      <c r="D398" s="1"/>
    </row>
    <row r="399" spans="2:4" ht="14.25" customHeight="1" x14ac:dyDescent="0.25">
      <c r="B399" s="1"/>
      <c r="C399" s="1"/>
      <c r="D399" s="1"/>
    </row>
    <row r="400" spans="2:4" ht="14.25" customHeight="1" x14ac:dyDescent="0.25">
      <c r="B400" s="1"/>
      <c r="C400" s="1"/>
      <c r="D400" s="1"/>
    </row>
    <row r="401" spans="2:4" ht="14.25" customHeight="1" x14ac:dyDescent="0.25">
      <c r="B401" s="1"/>
      <c r="C401" s="1"/>
      <c r="D401" s="1"/>
    </row>
    <row r="402" spans="2:4" ht="14.25" customHeight="1" x14ac:dyDescent="0.25">
      <c r="B402" s="1"/>
      <c r="C402" s="1"/>
      <c r="D402" s="1"/>
    </row>
    <row r="403" spans="2:4" ht="14.25" customHeight="1" x14ac:dyDescent="0.25">
      <c r="B403" s="1"/>
      <c r="C403" s="1"/>
      <c r="D403" s="1"/>
    </row>
    <row r="404" spans="2:4" ht="14.25" customHeight="1" x14ac:dyDescent="0.25">
      <c r="B404" s="1"/>
      <c r="C404" s="1"/>
      <c r="D404" s="1"/>
    </row>
    <row r="405" spans="2:4" ht="14.25" customHeight="1" x14ac:dyDescent="0.25">
      <c r="B405" s="1"/>
      <c r="C405" s="1"/>
      <c r="D405" s="1"/>
    </row>
    <row r="406" spans="2:4" ht="14.25" customHeight="1" x14ac:dyDescent="0.25">
      <c r="B406" s="1"/>
      <c r="C406" s="1"/>
      <c r="D406" s="1"/>
    </row>
    <row r="407" spans="2:4" ht="14.25" customHeight="1" x14ac:dyDescent="0.25">
      <c r="B407" s="1"/>
      <c r="C407" s="1"/>
      <c r="D407" s="1"/>
    </row>
    <row r="408" spans="2:4" ht="14.25" customHeight="1" x14ac:dyDescent="0.25">
      <c r="B408" s="1"/>
      <c r="C408" s="1"/>
      <c r="D408" s="1"/>
    </row>
    <row r="409" spans="2:4" ht="14.25" customHeight="1" x14ac:dyDescent="0.25">
      <c r="B409" s="1"/>
      <c r="C409" s="1"/>
      <c r="D409" s="1"/>
    </row>
    <row r="410" spans="2:4" ht="14.25" customHeight="1" x14ac:dyDescent="0.25">
      <c r="B410" s="1"/>
      <c r="C410" s="1"/>
      <c r="D410" s="1"/>
    </row>
    <row r="411" spans="2:4" ht="14.25" customHeight="1" x14ac:dyDescent="0.25">
      <c r="B411" s="1"/>
      <c r="C411" s="1"/>
      <c r="D411" s="1"/>
    </row>
    <row r="412" spans="2:4" ht="14.25" customHeight="1" x14ac:dyDescent="0.25">
      <c r="B412" s="1"/>
      <c r="C412" s="1"/>
      <c r="D412" s="1"/>
    </row>
    <row r="413" spans="2:4" ht="14.25" customHeight="1" x14ac:dyDescent="0.25">
      <c r="B413" s="1"/>
      <c r="C413" s="1"/>
      <c r="D413" s="1"/>
    </row>
    <row r="414" spans="2:4" ht="14.25" customHeight="1" x14ac:dyDescent="0.25">
      <c r="B414" s="1"/>
      <c r="C414" s="1"/>
      <c r="D414" s="1"/>
    </row>
    <row r="415" spans="2:4" ht="14.25" customHeight="1" x14ac:dyDescent="0.25">
      <c r="B415" s="1"/>
      <c r="C415" s="1"/>
      <c r="D415" s="1"/>
    </row>
    <row r="416" spans="2:4" ht="14.25" customHeight="1" x14ac:dyDescent="0.25">
      <c r="B416" s="1"/>
      <c r="C416" s="1"/>
      <c r="D416" s="1"/>
    </row>
    <row r="417" spans="2:4" ht="14.25" customHeight="1" x14ac:dyDescent="0.25">
      <c r="B417" s="1"/>
      <c r="C417" s="1"/>
      <c r="D417" s="1"/>
    </row>
    <row r="418" spans="2:4" ht="14.25" customHeight="1" x14ac:dyDescent="0.25">
      <c r="B418" s="1"/>
      <c r="C418" s="1"/>
      <c r="D418" s="1"/>
    </row>
    <row r="419" spans="2:4" ht="14.25" customHeight="1" x14ac:dyDescent="0.25">
      <c r="B419" s="1"/>
      <c r="C419" s="1"/>
      <c r="D419" s="1"/>
    </row>
    <row r="420" spans="2:4" ht="14.25" customHeight="1" x14ac:dyDescent="0.25">
      <c r="B420" s="1"/>
      <c r="C420" s="1"/>
      <c r="D420" s="1"/>
    </row>
    <row r="421" spans="2:4" ht="14.25" customHeight="1" x14ac:dyDescent="0.25">
      <c r="B421" s="1"/>
      <c r="C421" s="1"/>
      <c r="D421" s="1"/>
    </row>
    <row r="422" spans="2:4" ht="14.25" customHeight="1" x14ac:dyDescent="0.25">
      <c r="B422" s="1"/>
      <c r="C422" s="1"/>
      <c r="D422" s="1"/>
    </row>
    <row r="423" spans="2:4" ht="14.25" customHeight="1" x14ac:dyDescent="0.25">
      <c r="B423" s="1"/>
      <c r="C423" s="1"/>
      <c r="D423" s="1"/>
    </row>
    <row r="424" spans="2:4" ht="14.25" customHeight="1" x14ac:dyDescent="0.25">
      <c r="B424" s="1"/>
      <c r="C424" s="1"/>
      <c r="D424" s="1"/>
    </row>
    <row r="425" spans="2:4" ht="14.25" customHeight="1" x14ac:dyDescent="0.25">
      <c r="B425" s="1"/>
      <c r="C425" s="1"/>
      <c r="D425" s="1"/>
    </row>
    <row r="426" spans="2:4" ht="14.25" customHeight="1" x14ac:dyDescent="0.25">
      <c r="B426" s="1"/>
      <c r="C426" s="1"/>
      <c r="D426" s="1"/>
    </row>
    <row r="427" spans="2:4" ht="14.25" customHeight="1" x14ac:dyDescent="0.25">
      <c r="B427" s="1"/>
      <c r="C427" s="1"/>
      <c r="D427" s="1"/>
    </row>
    <row r="428" spans="2:4" ht="14.25" customHeight="1" x14ac:dyDescent="0.25">
      <c r="B428" s="1"/>
      <c r="C428" s="1"/>
      <c r="D428" s="1"/>
    </row>
    <row r="429" spans="2:4" ht="14.25" customHeight="1" x14ac:dyDescent="0.25">
      <c r="B429" s="1"/>
      <c r="C429" s="1"/>
      <c r="D429" s="1"/>
    </row>
    <row r="430" spans="2:4" ht="14.25" customHeight="1" x14ac:dyDescent="0.25">
      <c r="B430" s="1"/>
      <c r="C430" s="1"/>
      <c r="D430" s="1"/>
    </row>
    <row r="431" spans="2:4" ht="14.25" customHeight="1" x14ac:dyDescent="0.25">
      <c r="B431" s="1"/>
      <c r="C431" s="1"/>
      <c r="D431" s="1"/>
    </row>
    <row r="432" spans="2:4" ht="14.25" customHeight="1" x14ac:dyDescent="0.25">
      <c r="B432" s="1"/>
      <c r="C432" s="1"/>
      <c r="D432" s="1"/>
    </row>
    <row r="433" spans="2:4" ht="14.25" customHeight="1" x14ac:dyDescent="0.25">
      <c r="B433" s="1"/>
      <c r="C433" s="1"/>
      <c r="D433" s="1"/>
    </row>
    <row r="434" spans="2:4" ht="14.25" customHeight="1" x14ac:dyDescent="0.25">
      <c r="B434" s="1"/>
      <c r="C434" s="1"/>
      <c r="D434" s="1"/>
    </row>
    <row r="435" spans="2:4" ht="14.25" customHeight="1" x14ac:dyDescent="0.25">
      <c r="B435" s="1"/>
      <c r="C435" s="1"/>
      <c r="D435" s="1"/>
    </row>
    <row r="436" spans="2:4" ht="14.25" customHeight="1" x14ac:dyDescent="0.25">
      <c r="B436" s="1"/>
      <c r="C436" s="1"/>
      <c r="D436" s="1"/>
    </row>
    <row r="437" spans="2:4" ht="14.25" customHeight="1" x14ac:dyDescent="0.25">
      <c r="B437" s="1"/>
      <c r="C437" s="1"/>
      <c r="D437" s="1"/>
    </row>
    <row r="438" spans="2:4" ht="14.25" customHeight="1" x14ac:dyDescent="0.25">
      <c r="B438" s="1"/>
      <c r="C438" s="1"/>
      <c r="D438" s="1"/>
    </row>
    <row r="439" spans="2:4" ht="14.25" customHeight="1" x14ac:dyDescent="0.25">
      <c r="B439" s="1"/>
      <c r="C439" s="1"/>
      <c r="D439" s="1"/>
    </row>
    <row r="440" spans="2:4" ht="14.25" customHeight="1" x14ac:dyDescent="0.25">
      <c r="B440" s="1"/>
      <c r="C440" s="1"/>
      <c r="D440" s="1"/>
    </row>
    <row r="441" spans="2:4" ht="14.25" customHeight="1" x14ac:dyDescent="0.25">
      <c r="B441" s="1"/>
      <c r="C441" s="1"/>
      <c r="D441" s="1"/>
    </row>
    <row r="442" spans="2:4" ht="14.25" customHeight="1" x14ac:dyDescent="0.25">
      <c r="B442" s="1"/>
      <c r="C442" s="1"/>
      <c r="D442" s="1"/>
    </row>
    <row r="443" spans="2:4" ht="14.25" customHeight="1" x14ac:dyDescent="0.25">
      <c r="B443" s="1"/>
      <c r="C443" s="1"/>
      <c r="D443" s="1"/>
    </row>
    <row r="444" spans="2:4" ht="14.25" customHeight="1" x14ac:dyDescent="0.25">
      <c r="B444" s="1"/>
      <c r="C444" s="1"/>
      <c r="D444" s="1"/>
    </row>
    <row r="445" spans="2:4" ht="14.25" customHeight="1" x14ac:dyDescent="0.25">
      <c r="B445" s="1"/>
      <c r="C445" s="1"/>
      <c r="D445" s="1"/>
    </row>
    <row r="446" spans="2:4" ht="14.25" customHeight="1" x14ac:dyDescent="0.25">
      <c r="B446" s="1"/>
      <c r="C446" s="1"/>
      <c r="D446" s="1"/>
    </row>
    <row r="447" spans="2:4" ht="14.25" customHeight="1" x14ac:dyDescent="0.25">
      <c r="B447" s="1"/>
      <c r="C447" s="1"/>
      <c r="D447" s="1"/>
    </row>
    <row r="448" spans="2:4" ht="14.25" customHeight="1" x14ac:dyDescent="0.25">
      <c r="B448" s="1"/>
      <c r="C448" s="1"/>
      <c r="D448" s="1"/>
    </row>
    <row r="449" spans="2:4" ht="14.25" customHeight="1" x14ac:dyDescent="0.25">
      <c r="B449" s="1"/>
      <c r="C449" s="1"/>
      <c r="D449" s="1"/>
    </row>
    <row r="450" spans="2:4" ht="14.25" customHeight="1" x14ac:dyDescent="0.25">
      <c r="B450" s="1"/>
      <c r="C450" s="1"/>
      <c r="D450" s="1"/>
    </row>
    <row r="451" spans="2:4" ht="14.25" customHeight="1" x14ac:dyDescent="0.25">
      <c r="B451" s="1"/>
      <c r="C451" s="1"/>
      <c r="D451" s="1"/>
    </row>
    <row r="452" spans="2:4" ht="14.25" customHeight="1" x14ac:dyDescent="0.25">
      <c r="B452" s="1"/>
      <c r="C452" s="1"/>
      <c r="D452" s="1"/>
    </row>
    <row r="453" spans="2:4" ht="14.25" customHeight="1" x14ac:dyDescent="0.25">
      <c r="B453" s="1"/>
      <c r="C453" s="1"/>
      <c r="D453" s="1"/>
    </row>
    <row r="454" spans="2:4" ht="14.25" customHeight="1" x14ac:dyDescent="0.25">
      <c r="B454" s="1"/>
      <c r="C454" s="1"/>
      <c r="D454" s="1"/>
    </row>
    <row r="455" spans="2:4" ht="14.25" customHeight="1" x14ac:dyDescent="0.25">
      <c r="B455" s="1"/>
      <c r="C455" s="1"/>
      <c r="D455" s="1"/>
    </row>
    <row r="456" spans="2:4" ht="14.25" customHeight="1" x14ac:dyDescent="0.25">
      <c r="B456" s="1"/>
      <c r="C456" s="1"/>
      <c r="D456" s="1"/>
    </row>
    <row r="457" spans="2:4" ht="14.25" customHeight="1" x14ac:dyDescent="0.25">
      <c r="B457" s="1"/>
      <c r="C457" s="1"/>
      <c r="D457" s="1"/>
    </row>
    <row r="458" spans="2:4" ht="14.25" customHeight="1" x14ac:dyDescent="0.25">
      <c r="B458" s="1"/>
      <c r="C458" s="1"/>
      <c r="D458" s="1"/>
    </row>
    <row r="459" spans="2:4" ht="14.25" customHeight="1" x14ac:dyDescent="0.25">
      <c r="B459" s="1"/>
      <c r="C459" s="1"/>
      <c r="D459" s="1"/>
    </row>
    <row r="460" spans="2:4" ht="14.25" customHeight="1" x14ac:dyDescent="0.25">
      <c r="B460" s="1"/>
      <c r="C460" s="1"/>
      <c r="D460" s="1"/>
    </row>
    <row r="461" spans="2:4" ht="14.25" customHeight="1" x14ac:dyDescent="0.25">
      <c r="B461" s="1"/>
      <c r="C461" s="1"/>
      <c r="D461" s="1"/>
    </row>
    <row r="462" spans="2:4" ht="14.25" customHeight="1" x14ac:dyDescent="0.25">
      <c r="B462" s="1"/>
      <c r="C462" s="1"/>
      <c r="D462" s="1"/>
    </row>
    <row r="463" spans="2:4" ht="14.25" customHeight="1" x14ac:dyDescent="0.25">
      <c r="B463" s="1"/>
      <c r="C463" s="1"/>
      <c r="D463" s="1"/>
    </row>
    <row r="464" spans="2:4" ht="14.25" customHeight="1" x14ac:dyDescent="0.25">
      <c r="B464" s="1"/>
      <c r="C464" s="1"/>
      <c r="D464" s="1"/>
    </row>
    <row r="465" spans="2:4" ht="14.25" customHeight="1" x14ac:dyDescent="0.25">
      <c r="B465" s="1"/>
      <c r="C465" s="1"/>
      <c r="D465" s="1"/>
    </row>
    <row r="466" spans="2:4" ht="14.25" customHeight="1" x14ac:dyDescent="0.25">
      <c r="B466" s="1"/>
      <c r="C466" s="1"/>
      <c r="D466" s="1"/>
    </row>
    <row r="467" spans="2:4" ht="14.25" customHeight="1" x14ac:dyDescent="0.25">
      <c r="B467" s="1"/>
      <c r="C467" s="1"/>
      <c r="D467" s="1"/>
    </row>
    <row r="468" spans="2:4" ht="14.25" customHeight="1" x14ac:dyDescent="0.25">
      <c r="B468" s="1"/>
      <c r="C468" s="1"/>
      <c r="D468" s="1"/>
    </row>
    <row r="469" spans="2:4" ht="14.25" customHeight="1" x14ac:dyDescent="0.25">
      <c r="B469" s="1"/>
      <c r="C469" s="1"/>
      <c r="D469" s="1"/>
    </row>
    <row r="470" spans="2:4" ht="14.25" customHeight="1" x14ac:dyDescent="0.25">
      <c r="B470" s="1"/>
      <c r="C470" s="1"/>
      <c r="D470" s="1"/>
    </row>
    <row r="471" spans="2:4" ht="14.25" customHeight="1" x14ac:dyDescent="0.25">
      <c r="B471" s="1"/>
      <c r="C471" s="1"/>
      <c r="D471" s="1"/>
    </row>
    <row r="472" spans="2:4" ht="14.25" customHeight="1" x14ac:dyDescent="0.25">
      <c r="B472" s="1"/>
      <c r="C472" s="1"/>
      <c r="D472" s="1"/>
    </row>
    <row r="473" spans="2:4" ht="14.25" customHeight="1" x14ac:dyDescent="0.25">
      <c r="B473" s="1"/>
      <c r="C473" s="1"/>
      <c r="D473" s="1"/>
    </row>
    <row r="474" spans="2:4" ht="14.25" customHeight="1" x14ac:dyDescent="0.25">
      <c r="B474" s="1"/>
      <c r="C474" s="1"/>
      <c r="D474" s="1"/>
    </row>
    <row r="475" spans="2:4" ht="14.25" customHeight="1" x14ac:dyDescent="0.25">
      <c r="B475" s="1"/>
      <c r="C475" s="1"/>
      <c r="D475" s="1"/>
    </row>
    <row r="476" spans="2:4" ht="14.25" customHeight="1" x14ac:dyDescent="0.25">
      <c r="B476" s="1"/>
      <c r="C476" s="1"/>
      <c r="D476" s="1"/>
    </row>
    <row r="477" spans="2:4" ht="14.25" customHeight="1" x14ac:dyDescent="0.25">
      <c r="B477" s="1"/>
      <c r="C477" s="1"/>
      <c r="D477" s="1"/>
    </row>
    <row r="478" spans="2:4" ht="14.25" customHeight="1" x14ac:dyDescent="0.25">
      <c r="B478" s="1"/>
      <c r="C478" s="1"/>
      <c r="D478" s="1"/>
    </row>
    <row r="479" spans="2:4" ht="14.25" customHeight="1" x14ac:dyDescent="0.25">
      <c r="B479" s="1"/>
      <c r="C479" s="1"/>
      <c r="D479" s="1"/>
    </row>
    <row r="480" spans="2:4" ht="14.25" customHeight="1" x14ac:dyDescent="0.25">
      <c r="B480" s="1"/>
      <c r="C480" s="1"/>
      <c r="D480" s="1"/>
    </row>
    <row r="481" spans="2:4" ht="14.25" customHeight="1" x14ac:dyDescent="0.25">
      <c r="B481" s="1"/>
      <c r="C481" s="1"/>
      <c r="D481" s="1"/>
    </row>
    <row r="482" spans="2:4" ht="14.25" customHeight="1" x14ac:dyDescent="0.25">
      <c r="B482" s="1"/>
      <c r="C482" s="1"/>
      <c r="D482" s="1"/>
    </row>
    <row r="483" spans="2:4" ht="14.25" customHeight="1" x14ac:dyDescent="0.25">
      <c r="B483" s="1"/>
      <c r="C483" s="1"/>
      <c r="D483" s="1"/>
    </row>
    <row r="484" spans="2:4" ht="14.25" customHeight="1" x14ac:dyDescent="0.25">
      <c r="B484" s="1"/>
      <c r="C484" s="1"/>
      <c r="D484" s="1"/>
    </row>
    <row r="485" spans="2:4" ht="14.25" customHeight="1" x14ac:dyDescent="0.25">
      <c r="B485" s="1"/>
      <c r="C485" s="1"/>
      <c r="D485" s="1"/>
    </row>
    <row r="486" spans="2:4" ht="14.25" customHeight="1" x14ac:dyDescent="0.25">
      <c r="B486" s="1"/>
      <c r="C486" s="1"/>
      <c r="D486" s="1"/>
    </row>
    <row r="487" spans="2:4" ht="14.25" customHeight="1" x14ac:dyDescent="0.25">
      <c r="B487" s="1"/>
      <c r="C487" s="1"/>
      <c r="D487" s="1"/>
    </row>
    <row r="488" spans="2:4" ht="14.25" customHeight="1" x14ac:dyDescent="0.25">
      <c r="B488" s="1"/>
      <c r="C488" s="1"/>
      <c r="D488" s="1"/>
    </row>
    <row r="489" spans="2:4" ht="14.25" customHeight="1" x14ac:dyDescent="0.25">
      <c r="B489" s="1"/>
      <c r="C489" s="1"/>
      <c r="D489" s="1"/>
    </row>
    <row r="490" spans="2:4" ht="14.25" customHeight="1" x14ac:dyDescent="0.25">
      <c r="B490" s="1"/>
      <c r="C490" s="1"/>
      <c r="D490" s="1"/>
    </row>
    <row r="491" spans="2:4" ht="14.25" customHeight="1" x14ac:dyDescent="0.25">
      <c r="B491" s="1"/>
      <c r="C491" s="1"/>
      <c r="D491" s="1"/>
    </row>
    <row r="492" spans="2:4" ht="14.25" customHeight="1" x14ac:dyDescent="0.25">
      <c r="B492" s="1"/>
      <c r="C492" s="1"/>
      <c r="D492" s="1"/>
    </row>
    <row r="493" spans="2:4" ht="14.25" customHeight="1" x14ac:dyDescent="0.25">
      <c r="B493" s="1"/>
      <c r="C493" s="1"/>
      <c r="D493" s="1"/>
    </row>
    <row r="494" spans="2:4" ht="14.25" customHeight="1" x14ac:dyDescent="0.25">
      <c r="B494" s="1"/>
      <c r="C494" s="1"/>
      <c r="D494" s="1"/>
    </row>
    <row r="495" spans="2:4" ht="14.25" customHeight="1" x14ac:dyDescent="0.25">
      <c r="B495" s="1"/>
      <c r="C495" s="1"/>
      <c r="D495" s="1"/>
    </row>
    <row r="496" spans="2:4" ht="14.25" customHeight="1" x14ac:dyDescent="0.25">
      <c r="B496" s="1"/>
      <c r="C496" s="1"/>
      <c r="D496" s="1"/>
    </row>
    <row r="497" spans="2:4" ht="14.25" customHeight="1" x14ac:dyDescent="0.25">
      <c r="B497" s="1"/>
      <c r="C497" s="1"/>
      <c r="D497" s="1"/>
    </row>
    <row r="498" spans="2:4" ht="14.25" customHeight="1" x14ac:dyDescent="0.25">
      <c r="B498" s="1"/>
      <c r="C498" s="1"/>
      <c r="D498" s="1"/>
    </row>
    <row r="499" spans="2:4" ht="14.25" customHeight="1" x14ac:dyDescent="0.25">
      <c r="B499" s="1"/>
      <c r="C499" s="1"/>
      <c r="D499" s="1"/>
    </row>
    <row r="500" spans="2:4" ht="14.25" customHeight="1" x14ac:dyDescent="0.25">
      <c r="B500" s="1"/>
      <c r="C500" s="1"/>
      <c r="D500" s="1"/>
    </row>
    <row r="501" spans="2:4" ht="14.25" customHeight="1" x14ac:dyDescent="0.25">
      <c r="B501" s="1"/>
      <c r="C501" s="1"/>
      <c r="D501" s="1"/>
    </row>
    <row r="502" spans="2:4" ht="14.25" customHeight="1" x14ac:dyDescent="0.25">
      <c r="B502" s="1"/>
      <c r="C502" s="1"/>
      <c r="D502" s="1"/>
    </row>
    <row r="503" spans="2:4" ht="14.25" customHeight="1" x14ac:dyDescent="0.25">
      <c r="B503" s="1"/>
      <c r="C503" s="1"/>
      <c r="D503" s="1"/>
    </row>
    <row r="504" spans="2:4" ht="14.25" customHeight="1" x14ac:dyDescent="0.25">
      <c r="B504" s="1"/>
      <c r="C504" s="1"/>
      <c r="D504" s="1"/>
    </row>
    <row r="505" spans="2:4" ht="14.25" customHeight="1" x14ac:dyDescent="0.25">
      <c r="B505" s="1"/>
      <c r="C505" s="1"/>
      <c r="D505" s="1"/>
    </row>
    <row r="506" spans="2:4" ht="14.25" customHeight="1" x14ac:dyDescent="0.25">
      <c r="B506" s="1"/>
      <c r="C506" s="1"/>
      <c r="D506" s="1"/>
    </row>
    <row r="507" spans="2:4" ht="14.25" customHeight="1" x14ac:dyDescent="0.25">
      <c r="B507" s="1"/>
      <c r="C507" s="1"/>
      <c r="D507" s="1"/>
    </row>
    <row r="508" spans="2:4" ht="14.25" customHeight="1" x14ac:dyDescent="0.25">
      <c r="B508" s="1"/>
      <c r="C508" s="1"/>
      <c r="D508" s="1"/>
    </row>
    <row r="509" spans="2:4" ht="14.25" customHeight="1" x14ac:dyDescent="0.25">
      <c r="B509" s="1"/>
      <c r="C509" s="1"/>
      <c r="D509" s="1"/>
    </row>
    <row r="510" spans="2:4" ht="14.25" customHeight="1" x14ac:dyDescent="0.25">
      <c r="B510" s="1"/>
      <c r="C510" s="1"/>
      <c r="D510" s="1"/>
    </row>
    <row r="511" spans="2:4" ht="14.25" customHeight="1" x14ac:dyDescent="0.25">
      <c r="B511" s="1"/>
      <c r="C511" s="1"/>
      <c r="D511" s="1"/>
    </row>
    <row r="512" spans="2:4" ht="14.25" customHeight="1" x14ac:dyDescent="0.25">
      <c r="B512" s="1"/>
      <c r="C512" s="1"/>
      <c r="D512" s="1"/>
    </row>
    <row r="513" spans="2:4" ht="14.25" customHeight="1" x14ac:dyDescent="0.25">
      <c r="B513" s="1"/>
      <c r="C513" s="1"/>
      <c r="D513" s="1"/>
    </row>
    <row r="514" spans="2:4" ht="14.25" customHeight="1" x14ac:dyDescent="0.25">
      <c r="B514" s="1"/>
      <c r="C514" s="1"/>
      <c r="D514" s="1"/>
    </row>
    <row r="515" spans="2:4" ht="14.25" customHeight="1" x14ac:dyDescent="0.25">
      <c r="B515" s="1"/>
      <c r="C515" s="1"/>
      <c r="D515" s="1"/>
    </row>
    <row r="516" spans="2:4" ht="14.25" customHeight="1" x14ac:dyDescent="0.25">
      <c r="B516" s="1"/>
      <c r="C516" s="1"/>
      <c r="D516" s="1"/>
    </row>
    <row r="517" spans="2:4" ht="14.25" customHeight="1" x14ac:dyDescent="0.25">
      <c r="B517" s="1"/>
      <c r="C517" s="1"/>
      <c r="D517" s="1"/>
    </row>
    <row r="518" spans="2:4" ht="14.25" customHeight="1" x14ac:dyDescent="0.25">
      <c r="B518" s="1"/>
      <c r="C518" s="1"/>
      <c r="D518" s="1"/>
    </row>
    <row r="519" spans="2:4" ht="14.25" customHeight="1" x14ac:dyDescent="0.25">
      <c r="B519" s="1"/>
      <c r="C519" s="1"/>
      <c r="D519" s="1"/>
    </row>
    <row r="520" spans="2:4" ht="14.25" customHeight="1" x14ac:dyDescent="0.25">
      <c r="B520" s="1"/>
      <c r="C520" s="1"/>
      <c r="D520" s="1"/>
    </row>
    <row r="521" spans="2:4" ht="14.25" customHeight="1" x14ac:dyDescent="0.25">
      <c r="B521" s="1"/>
      <c r="C521" s="1"/>
      <c r="D521" s="1"/>
    </row>
    <row r="522" spans="2:4" ht="14.25" customHeight="1" x14ac:dyDescent="0.25">
      <c r="B522" s="1"/>
      <c r="C522" s="1"/>
      <c r="D522" s="1"/>
    </row>
    <row r="523" spans="2:4" ht="14.25" customHeight="1" x14ac:dyDescent="0.25">
      <c r="B523" s="1"/>
      <c r="C523" s="1"/>
      <c r="D523" s="1"/>
    </row>
    <row r="524" spans="2:4" ht="14.25" customHeight="1" x14ac:dyDescent="0.25">
      <c r="B524" s="1"/>
      <c r="C524" s="1"/>
      <c r="D524" s="1"/>
    </row>
    <row r="525" spans="2:4" ht="14.25" customHeight="1" x14ac:dyDescent="0.25">
      <c r="B525" s="1"/>
      <c r="C525" s="1"/>
      <c r="D525" s="1"/>
    </row>
    <row r="526" spans="2:4" ht="14.25" customHeight="1" x14ac:dyDescent="0.25">
      <c r="B526" s="1"/>
      <c r="C526" s="1"/>
      <c r="D526" s="1"/>
    </row>
    <row r="527" spans="2:4" ht="14.25" customHeight="1" x14ac:dyDescent="0.25">
      <c r="B527" s="1"/>
      <c r="C527" s="1"/>
      <c r="D527" s="1"/>
    </row>
    <row r="528" spans="2:4" ht="14.25" customHeight="1" x14ac:dyDescent="0.25">
      <c r="B528" s="1"/>
      <c r="C528" s="1"/>
      <c r="D528" s="1"/>
    </row>
    <row r="529" spans="2:4" ht="14.25" customHeight="1" x14ac:dyDescent="0.25">
      <c r="B529" s="1"/>
      <c r="C529" s="1"/>
      <c r="D529" s="1"/>
    </row>
    <row r="530" spans="2:4" ht="14.25" customHeight="1" x14ac:dyDescent="0.25">
      <c r="B530" s="1"/>
      <c r="C530" s="1"/>
      <c r="D530" s="1"/>
    </row>
    <row r="531" spans="2:4" ht="14.25" customHeight="1" x14ac:dyDescent="0.25">
      <c r="B531" s="1"/>
      <c r="C531" s="1"/>
      <c r="D531" s="1"/>
    </row>
    <row r="532" spans="2:4" ht="14.25" customHeight="1" x14ac:dyDescent="0.25">
      <c r="B532" s="1"/>
      <c r="C532" s="1"/>
      <c r="D532" s="1"/>
    </row>
    <row r="533" spans="2:4" ht="14.25" customHeight="1" x14ac:dyDescent="0.25">
      <c r="B533" s="1"/>
      <c r="C533" s="1"/>
      <c r="D533" s="1"/>
    </row>
    <row r="534" spans="2:4" ht="14.25" customHeight="1" x14ac:dyDescent="0.25">
      <c r="B534" s="1"/>
      <c r="C534" s="1"/>
      <c r="D534" s="1"/>
    </row>
    <row r="535" spans="2:4" ht="14.25" customHeight="1" x14ac:dyDescent="0.25">
      <c r="B535" s="1"/>
      <c r="C535" s="1"/>
      <c r="D535" s="1"/>
    </row>
    <row r="536" spans="2:4" ht="14.25" customHeight="1" x14ac:dyDescent="0.25">
      <c r="B536" s="1"/>
      <c r="C536" s="1"/>
      <c r="D536" s="1"/>
    </row>
    <row r="537" spans="2:4" ht="14.25" customHeight="1" x14ac:dyDescent="0.25">
      <c r="B537" s="1"/>
      <c r="C537" s="1"/>
      <c r="D537" s="1"/>
    </row>
    <row r="538" spans="2:4" ht="14.25" customHeight="1" x14ac:dyDescent="0.25">
      <c r="B538" s="1"/>
      <c r="C538" s="1"/>
      <c r="D538" s="1"/>
    </row>
    <row r="539" spans="2:4" ht="14.25" customHeight="1" x14ac:dyDescent="0.25">
      <c r="B539" s="1"/>
      <c r="C539" s="1"/>
      <c r="D539" s="1"/>
    </row>
    <row r="540" spans="2:4" ht="14.25" customHeight="1" x14ac:dyDescent="0.25">
      <c r="B540" s="1"/>
      <c r="C540" s="1"/>
      <c r="D540" s="1"/>
    </row>
    <row r="541" spans="2:4" ht="14.25" customHeight="1" x14ac:dyDescent="0.25">
      <c r="B541" s="1"/>
      <c r="C541" s="1"/>
      <c r="D541" s="1"/>
    </row>
    <row r="542" spans="2:4" ht="14.25" customHeight="1" x14ac:dyDescent="0.25">
      <c r="B542" s="1"/>
      <c r="C542" s="1"/>
      <c r="D542" s="1"/>
    </row>
    <row r="543" spans="2:4" ht="14.25" customHeight="1" x14ac:dyDescent="0.25">
      <c r="B543" s="1"/>
      <c r="C543" s="1"/>
      <c r="D543" s="1"/>
    </row>
    <row r="544" spans="2:4" ht="14.25" customHeight="1" x14ac:dyDescent="0.25">
      <c r="B544" s="1"/>
      <c r="C544" s="1"/>
      <c r="D544" s="1"/>
    </row>
    <row r="545" spans="2:4" ht="14.25" customHeight="1" x14ac:dyDescent="0.25">
      <c r="B545" s="1"/>
      <c r="C545" s="1"/>
      <c r="D545" s="1"/>
    </row>
    <row r="546" spans="2:4" ht="14.25" customHeight="1" x14ac:dyDescent="0.25">
      <c r="B546" s="1"/>
      <c r="C546" s="1"/>
      <c r="D546" s="1"/>
    </row>
    <row r="547" spans="2:4" ht="14.25" customHeight="1" x14ac:dyDescent="0.25">
      <c r="B547" s="1"/>
      <c r="C547" s="1"/>
      <c r="D547" s="1"/>
    </row>
    <row r="548" spans="2:4" ht="14.25" customHeight="1" x14ac:dyDescent="0.25">
      <c r="B548" s="1"/>
      <c r="C548" s="1"/>
      <c r="D548" s="1"/>
    </row>
    <row r="549" spans="2:4" ht="14.25" customHeight="1" x14ac:dyDescent="0.25">
      <c r="B549" s="1"/>
      <c r="C549" s="1"/>
      <c r="D549" s="1"/>
    </row>
    <row r="550" spans="2:4" ht="14.25" customHeight="1" x14ac:dyDescent="0.25">
      <c r="B550" s="1"/>
      <c r="C550" s="1"/>
      <c r="D550" s="1"/>
    </row>
    <row r="551" spans="2:4" ht="14.25" customHeight="1" x14ac:dyDescent="0.25">
      <c r="B551" s="1"/>
      <c r="C551" s="1"/>
      <c r="D551" s="1"/>
    </row>
    <row r="552" spans="2:4" ht="14.25" customHeight="1" x14ac:dyDescent="0.25">
      <c r="B552" s="1"/>
      <c r="C552" s="1"/>
      <c r="D552" s="1"/>
    </row>
    <row r="553" spans="2:4" ht="14.25" customHeight="1" x14ac:dyDescent="0.25">
      <c r="B553" s="1"/>
      <c r="C553" s="1"/>
      <c r="D553" s="1"/>
    </row>
    <row r="554" spans="2:4" ht="14.25" customHeight="1" x14ac:dyDescent="0.25">
      <c r="B554" s="1"/>
      <c r="C554" s="1"/>
      <c r="D554" s="1"/>
    </row>
    <row r="555" spans="2:4" ht="14.25" customHeight="1" x14ac:dyDescent="0.25">
      <c r="B555" s="1"/>
      <c r="C555" s="1"/>
      <c r="D555" s="1"/>
    </row>
    <row r="556" spans="2:4" ht="14.25" customHeight="1" x14ac:dyDescent="0.25">
      <c r="B556" s="1"/>
      <c r="C556" s="1"/>
      <c r="D556" s="1"/>
    </row>
    <row r="557" spans="2:4" ht="14.25" customHeight="1" x14ac:dyDescent="0.25">
      <c r="B557" s="1"/>
      <c r="C557" s="1"/>
      <c r="D557" s="1"/>
    </row>
    <row r="558" spans="2:4" ht="14.25" customHeight="1" x14ac:dyDescent="0.25">
      <c r="B558" s="1"/>
      <c r="C558" s="1"/>
      <c r="D558" s="1"/>
    </row>
    <row r="559" spans="2:4" ht="14.25" customHeight="1" x14ac:dyDescent="0.25">
      <c r="B559" s="1"/>
      <c r="C559" s="1"/>
      <c r="D559" s="1"/>
    </row>
    <row r="560" spans="2:4" ht="14.25" customHeight="1" x14ac:dyDescent="0.25">
      <c r="B560" s="1"/>
      <c r="C560" s="1"/>
      <c r="D560" s="1"/>
    </row>
    <row r="561" spans="2:4" ht="14.25" customHeight="1" x14ac:dyDescent="0.25">
      <c r="B561" s="1"/>
      <c r="C561" s="1"/>
      <c r="D561" s="1"/>
    </row>
    <row r="562" spans="2:4" ht="14.25" customHeight="1" x14ac:dyDescent="0.25">
      <c r="B562" s="1"/>
      <c r="C562" s="1"/>
      <c r="D562" s="1"/>
    </row>
    <row r="563" spans="2:4" ht="14.25" customHeight="1" x14ac:dyDescent="0.25">
      <c r="B563" s="1"/>
      <c r="C563" s="1"/>
      <c r="D563" s="1"/>
    </row>
    <row r="564" spans="2:4" ht="14.25" customHeight="1" x14ac:dyDescent="0.25">
      <c r="B564" s="1"/>
      <c r="C564" s="1"/>
      <c r="D564" s="1"/>
    </row>
    <row r="565" spans="2:4" ht="14.25" customHeight="1" x14ac:dyDescent="0.25">
      <c r="B565" s="1"/>
      <c r="C565" s="1"/>
      <c r="D565" s="1"/>
    </row>
    <row r="566" spans="2:4" ht="14.25" customHeight="1" x14ac:dyDescent="0.25">
      <c r="B566" s="1"/>
      <c r="C566" s="1"/>
      <c r="D566" s="1"/>
    </row>
    <row r="567" spans="2:4" ht="14.25" customHeight="1" x14ac:dyDescent="0.25">
      <c r="B567" s="1"/>
      <c r="C567" s="1"/>
      <c r="D567" s="1"/>
    </row>
    <row r="568" spans="2:4" ht="14.25" customHeight="1" x14ac:dyDescent="0.25">
      <c r="B568" s="1"/>
      <c r="C568" s="1"/>
      <c r="D568" s="1"/>
    </row>
    <row r="569" spans="2:4" ht="14.25" customHeight="1" x14ac:dyDescent="0.25">
      <c r="B569" s="1"/>
      <c r="C569" s="1"/>
      <c r="D569" s="1"/>
    </row>
    <row r="570" spans="2:4" ht="14.25" customHeight="1" x14ac:dyDescent="0.25">
      <c r="B570" s="1"/>
      <c r="C570" s="1"/>
      <c r="D570" s="1"/>
    </row>
    <row r="571" spans="2:4" ht="14.25" customHeight="1" x14ac:dyDescent="0.25">
      <c r="B571" s="1"/>
      <c r="C571" s="1"/>
      <c r="D571" s="1"/>
    </row>
    <row r="572" spans="2:4" ht="14.25" customHeight="1" x14ac:dyDescent="0.25">
      <c r="B572" s="1"/>
      <c r="C572" s="1"/>
      <c r="D572" s="1"/>
    </row>
    <row r="573" spans="2:4" ht="14.25" customHeight="1" x14ac:dyDescent="0.25">
      <c r="B573" s="1"/>
      <c r="C573" s="1"/>
      <c r="D573" s="1"/>
    </row>
    <row r="574" spans="2:4" ht="14.25" customHeight="1" x14ac:dyDescent="0.25">
      <c r="B574" s="1"/>
      <c r="C574" s="1"/>
      <c r="D574" s="1"/>
    </row>
    <row r="575" spans="2:4" ht="14.25" customHeight="1" x14ac:dyDescent="0.25">
      <c r="B575" s="1"/>
      <c r="C575" s="1"/>
      <c r="D575" s="1"/>
    </row>
    <row r="576" spans="2:4" ht="14.25" customHeight="1" x14ac:dyDescent="0.25">
      <c r="B576" s="1"/>
      <c r="C576" s="1"/>
      <c r="D576" s="1"/>
    </row>
    <row r="577" spans="2:4" ht="14.25" customHeight="1" x14ac:dyDescent="0.25">
      <c r="B577" s="1"/>
      <c r="C577" s="1"/>
      <c r="D577" s="1"/>
    </row>
    <row r="578" spans="2:4" ht="14.25" customHeight="1" x14ac:dyDescent="0.25">
      <c r="B578" s="1"/>
      <c r="C578" s="1"/>
      <c r="D578" s="1"/>
    </row>
    <row r="579" spans="2:4" ht="14.25" customHeight="1" x14ac:dyDescent="0.25">
      <c r="B579" s="1"/>
      <c r="C579" s="1"/>
      <c r="D579" s="1"/>
    </row>
    <row r="580" spans="2:4" ht="14.25" customHeight="1" x14ac:dyDescent="0.25">
      <c r="B580" s="1"/>
      <c r="C580" s="1"/>
      <c r="D580" s="1"/>
    </row>
    <row r="581" spans="2:4" ht="14.25" customHeight="1" x14ac:dyDescent="0.25">
      <c r="B581" s="1"/>
      <c r="C581" s="1"/>
      <c r="D581" s="1"/>
    </row>
    <row r="582" spans="2:4" ht="14.25" customHeight="1" x14ac:dyDescent="0.25">
      <c r="B582" s="1"/>
      <c r="C582" s="1"/>
      <c r="D582" s="1"/>
    </row>
    <row r="583" spans="2:4" ht="14.25" customHeight="1" x14ac:dyDescent="0.25">
      <c r="B583" s="1"/>
      <c r="C583" s="1"/>
      <c r="D583" s="1"/>
    </row>
    <row r="584" spans="2:4" ht="14.25" customHeight="1" x14ac:dyDescent="0.25">
      <c r="B584" s="1"/>
      <c r="C584" s="1"/>
      <c r="D584" s="1"/>
    </row>
    <row r="585" spans="2:4" ht="14.25" customHeight="1" x14ac:dyDescent="0.25">
      <c r="B585" s="1"/>
      <c r="C585" s="1"/>
      <c r="D585" s="1"/>
    </row>
    <row r="586" spans="2:4" ht="14.25" customHeight="1" x14ac:dyDescent="0.25">
      <c r="B586" s="1"/>
      <c r="C586" s="1"/>
      <c r="D586" s="1"/>
    </row>
    <row r="587" spans="2:4" ht="14.25" customHeight="1" x14ac:dyDescent="0.25">
      <c r="B587" s="1"/>
      <c r="C587" s="1"/>
      <c r="D587" s="1"/>
    </row>
    <row r="588" spans="2:4" ht="14.25" customHeight="1" x14ac:dyDescent="0.25">
      <c r="B588" s="1"/>
      <c r="C588" s="1"/>
      <c r="D588" s="1"/>
    </row>
    <row r="589" spans="2:4" ht="14.25" customHeight="1" x14ac:dyDescent="0.25">
      <c r="B589" s="1"/>
      <c r="C589" s="1"/>
      <c r="D589" s="1"/>
    </row>
    <row r="590" spans="2:4" ht="14.25" customHeight="1" x14ac:dyDescent="0.25">
      <c r="B590" s="1"/>
      <c r="C590" s="1"/>
      <c r="D590" s="1"/>
    </row>
    <row r="591" spans="2:4" ht="14.25" customHeight="1" x14ac:dyDescent="0.25">
      <c r="B591" s="1"/>
      <c r="C591" s="1"/>
      <c r="D591" s="1"/>
    </row>
    <row r="592" spans="2:4" ht="14.25" customHeight="1" x14ac:dyDescent="0.25">
      <c r="B592" s="1"/>
      <c r="C592" s="1"/>
      <c r="D592" s="1"/>
    </row>
    <row r="593" spans="2:4" ht="14.25" customHeight="1" x14ac:dyDescent="0.25">
      <c r="B593" s="1"/>
      <c r="C593" s="1"/>
      <c r="D593" s="1"/>
    </row>
    <row r="594" spans="2:4" ht="14.25" customHeight="1" x14ac:dyDescent="0.25">
      <c r="B594" s="1"/>
      <c r="C594" s="1"/>
      <c r="D594" s="1"/>
    </row>
    <row r="595" spans="2:4" ht="14.25" customHeight="1" x14ac:dyDescent="0.25">
      <c r="B595" s="1"/>
      <c r="C595" s="1"/>
      <c r="D595" s="1"/>
    </row>
    <row r="596" spans="2:4" ht="14.25" customHeight="1" x14ac:dyDescent="0.25">
      <c r="B596" s="1"/>
      <c r="C596" s="1"/>
      <c r="D596" s="1"/>
    </row>
    <row r="597" spans="2:4" ht="14.25" customHeight="1" x14ac:dyDescent="0.25">
      <c r="B597" s="1"/>
      <c r="C597" s="1"/>
      <c r="D597" s="1"/>
    </row>
    <row r="598" spans="2:4" ht="14.25" customHeight="1" x14ac:dyDescent="0.25">
      <c r="B598" s="1"/>
      <c r="C598" s="1"/>
      <c r="D598" s="1"/>
    </row>
    <row r="599" spans="2:4" ht="14.25" customHeight="1" x14ac:dyDescent="0.25">
      <c r="B599" s="1"/>
      <c r="C599" s="1"/>
      <c r="D599" s="1"/>
    </row>
    <row r="600" spans="2:4" ht="14.25" customHeight="1" x14ac:dyDescent="0.25">
      <c r="B600" s="1"/>
      <c r="C600" s="1"/>
      <c r="D600" s="1"/>
    </row>
    <row r="601" spans="2:4" ht="14.25" customHeight="1" x14ac:dyDescent="0.25">
      <c r="B601" s="1"/>
      <c r="C601" s="1"/>
      <c r="D601" s="1"/>
    </row>
    <row r="602" spans="2:4" ht="14.25" customHeight="1" x14ac:dyDescent="0.25">
      <c r="B602" s="1"/>
      <c r="C602" s="1"/>
      <c r="D602" s="1"/>
    </row>
    <row r="603" spans="2:4" ht="14.25" customHeight="1" x14ac:dyDescent="0.25">
      <c r="B603" s="1"/>
      <c r="C603" s="1"/>
      <c r="D603" s="1"/>
    </row>
    <row r="604" spans="2:4" ht="14.25" customHeight="1" x14ac:dyDescent="0.25">
      <c r="B604" s="1"/>
      <c r="C604" s="1"/>
      <c r="D604" s="1"/>
    </row>
    <row r="605" spans="2:4" ht="14.25" customHeight="1" x14ac:dyDescent="0.25">
      <c r="B605" s="1"/>
      <c r="C605" s="1"/>
      <c r="D605" s="1"/>
    </row>
    <row r="606" spans="2:4" ht="14.25" customHeight="1" x14ac:dyDescent="0.25">
      <c r="B606" s="1"/>
      <c r="C606" s="1"/>
      <c r="D606" s="1"/>
    </row>
    <row r="607" spans="2:4" ht="14.25" customHeight="1" x14ac:dyDescent="0.25">
      <c r="B607" s="1"/>
      <c r="C607" s="1"/>
      <c r="D607" s="1"/>
    </row>
    <row r="608" spans="2:4" ht="14.25" customHeight="1" x14ac:dyDescent="0.25">
      <c r="B608" s="1"/>
      <c r="C608" s="1"/>
      <c r="D608" s="1"/>
    </row>
    <row r="609" spans="2:4" ht="14.25" customHeight="1" x14ac:dyDescent="0.25">
      <c r="B609" s="1"/>
      <c r="C609" s="1"/>
      <c r="D609" s="1"/>
    </row>
    <row r="610" spans="2:4" ht="14.25" customHeight="1" x14ac:dyDescent="0.25">
      <c r="B610" s="1"/>
      <c r="C610" s="1"/>
      <c r="D610" s="1"/>
    </row>
    <row r="611" spans="2:4" ht="14.25" customHeight="1" x14ac:dyDescent="0.25">
      <c r="B611" s="1"/>
      <c r="C611" s="1"/>
      <c r="D611" s="1"/>
    </row>
    <row r="612" spans="2:4" ht="14.25" customHeight="1" x14ac:dyDescent="0.25">
      <c r="B612" s="1"/>
      <c r="C612" s="1"/>
      <c r="D612" s="1"/>
    </row>
    <row r="613" spans="2:4" ht="14.25" customHeight="1" x14ac:dyDescent="0.25">
      <c r="B613" s="1"/>
      <c r="C613" s="1"/>
      <c r="D613" s="1"/>
    </row>
    <row r="614" spans="2:4" ht="14.25" customHeight="1" x14ac:dyDescent="0.25">
      <c r="B614" s="1"/>
      <c r="C614" s="1"/>
      <c r="D614" s="1"/>
    </row>
    <row r="615" spans="2:4" ht="14.25" customHeight="1" x14ac:dyDescent="0.25">
      <c r="B615" s="1"/>
      <c r="C615" s="1"/>
      <c r="D615" s="1"/>
    </row>
    <row r="616" spans="2:4" ht="14.25" customHeight="1" x14ac:dyDescent="0.25">
      <c r="B616" s="1"/>
      <c r="C616" s="1"/>
      <c r="D616" s="1"/>
    </row>
    <row r="617" spans="2:4" ht="14.25" customHeight="1" x14ac:dyDescent="0.25">
      <c r="B617" s="1"/>
      <c r="C617" s="1"/>
      <c r="D617" s="1"/>
    </row>
    <row r="618" spans="2:4" ht="14.25" customHeight="1" x14ac:dyDescent="0.25">
      <c r="B618" s="1"/>
      <c r="C618" s="1"/>
      <c r="D618" s="1"/>
    </row>
    <row r="619" spans="2:4" ht="14.25" customHeight="1" x14ac:dyDescent="0.25">
      <c r="B619" s="1"/>
      <c r="C619" s="1"/>
      <c r="D619" s="1"/>
    </row>
    <row r="620" spans="2:4" ht="14.25" customHeight="1" x14ac:dyDescent="0.25">
      <c r="B620" s="1"/>
      <c r="C620" s="1"/>
      <c r="D620" s="1"/>
    </row>
    <row r="621" spans="2:4" ht="14.25" customHeight="1" x14ac:dyDescent="0.25">
      <c r="B621" s="1"/>
      <c r="C621" s="1"/>
      <c r="D621" s="1"/>
    </row>
    <row r="622" spans="2:4" ht="14.25" customHeight="1" x14ac:dyDescent="0.25">
      <c r="B622" s="1"/>
      <c r="C622" s="1"/>
      <c r="D622" s="1"/>
    </row>
    <row r="623" spans="2:4" ht="14.25" customHeight="1" x14ac:dyDescent="0.25">
      <c r="B623" s="1"/>
      <c r="C623" s="1"/>
      <c r="D623" s="1"/>
    </row>
    <row r="624" spans="2:4" ht="14.25" customHeight="1" x14ac:dyDescent="0.25">
      <c r="B624" s="1"/>
      <c r="C624" s="1"/>
      <c r="D624" s="1"/>
    </row>
    <row r="625" spans="2:4" ht="14.25" customHeight="1" x14ac:dyDescent="0.25">
      <c r="B625" s="1"/>
      <c r="C625" s="1"/>
      <c r="D625" s="1"/>
    </row>
    <row r="626" spans="2:4" ht="14.25" customHeight="1" x14ac:dyDescent="0.25">
      <c r="B626" s="1"/>
      <c r="C626" s="1"/>
      <c r="D626" s="1"/>
    </row>
    <row r="627" spans="2:4" ht="14.25" customHeight="1" x14ac:dyDescent="0.25">
      <c r="B627" s="1"/>
      <c r="C627" s="1"/>
      <c r="D627" s="1"/>
    </row>
    <row r="628" spans="2:4" ht="14.25" customHeight="1" x14ac:dyDescent="0.25">
      <c r="B628" s="1"/>
      <c r="C628" s="1"/>
      <c r="D628" s="1"/>
    </row>
    <row r="629" spans="2:4" ht="14.25" customHeight="1" x14ac:dyDescent="0.25">
      <c r="B629" s="1"/>
      <c r="C629" s="1"/>
      <c r="D629" s="1"/>
    </row>
    <row r="630" spans="2:4" ht="14.25" customHeight="1" x14ac:dyDescent="0.25">
      <c r="B630" s="1"/>
      <c r="C630" s="1"/>
      <c r="D630" s="1"/>
    </row>
    <row r="631" spans="2:4" ht="14.25" customHeight="1" x14ac:dyDescent="0.25">
      <c r="B631" s="1"/>
      <c r="C631" s="1"/>
      <c r="D631" s="1"/>
    </row>
    <row r="632" spans="2:4" ht="14.25" customHeight="1" x14ac:dyDescent="0.25">
      <c r="B632" s="1"/>
      <c r="C632" s="1"/>
      <c r="D632" s="1"/>
    </row>
    <row r="633" spans="2:4" ht="14.25" customHeight="1" x14ac:dyDescent="0.25">
      <c r="B633" s="1"/>
      <c r="C633" s="1"/>
      <c r="D633" s="1"/>
    </row>
    <row r="634" spans="2:4" ht="14.25" customHeight="1" x14ac:dyDescent="0.25">
      <c r="B634" s="1"/>
      <c r="C634" s="1"/>
      <c r="D634" s="1"/>
    </row>
    <row r="635" spans="2:4" ht="14.25" customHeight="1" x14ac:dyDescent="0.25">
      <c r="B635" s="1"/>
      <c r="C635" s="1"/>
      <c r="D635" s="1"/>
    </row>
    <row r="636" spans="2:4" ht="14.25" customHeight="1" x14ac:dyDescent="0.25">
      <c r="B636" s="1"/>
      <c r="C636" s="1"/>
      <c r="D636" s="1"/>
    </row>
    <row r="637" spans="2:4" ht="14.25" customHeight="1" x14ac:dyDescent="0.25">
      <c r="B637" s="1"/>
      <c r="C637" s="1"/>
      <c r="D637" s="1"/>
    </row>
    <row r="638" spans="2:4" ht="14.25" customHeight="1" x14ac:dyDescent="0.25">
      <c r="B638" s="1"/>
      <c r="C638" s="1"/>
      <c r="D638" s="1"/>
    </row>
    <row r="639" spans="2:4" ht="14.25" customHeight="1" x14ac:dyDescent="0.25">
      <c r="B639" s="1"/>
      <c r="C639" s="1"/>
      <c r="D639" s="1"/>
    </row>
    <row r="640" spans="2:4" ht="14.25" customHeight="1" x14ac:dyDescent="0.25">
      <c r="B640" s="1"/>
      <c r="C640" s="1"/>
      <c r="D640" s="1"/>
    </row>
    <row r="641" spans="2:4" ht="14.25" customHeight="1" x14ac:dyDescent="0.25">
      <c r="B641" s="1"/>
      <c r="C641" s="1"/>
      <c r="D641" s="1"/>
    </row>
    <row r="642" spans="2:4" ht="14.25" customHeight="1" x14ac:dyDescent="0.25">
      <c r="B642" s="1"/>
      <c r="C642" s="1"/>
      <c r="D642" s="1"/>
    </row>
    <row r="643" spans="2:4" ht="14.25" customHeight="1" x14ac:dyDescent="0.25">
      <c r="B643" s="1"/>
      <c r="C643" s="1"/>
      <c r="D643" s="1"/>
    </row>
    <row r="644" spans="2:4" ht="14.25" customHeight="1" x14ac:dyDescent="0.25">
      <c r="B644" s="1"/>
      <c r="C644" s="1"/>
      <c r="D644" s="1"/>
    </row>
    <row r="645" spans="2:4" ht="14.25" customHeight="1" x14ac:dyDescent="0.25">
      <c r="B645" s="1"/>
      <c r="C645" s="1"/>
      <c r="D645" s="1"/>
    </row>
    <row r="646" spans="2:4" ht="14.25" customHeight="1" x14ac:dyDescent="0.25">
      <c r="B646" s="1"/>
      <c r="C646" s="1"/>
      <c r="D646" s="1"/>
    </row>
    <row r="647" spans="2:4" ht="14.25" customHeight="1" x14ac:dyDescent="0.25">
      <c r="B647" s="1"/>
      <c r="C647" s="1"/>
      <c r="D647" s="1"/>
    </row>
    <row r="648" spans="2:4" ht="14.25" customHeight="1" x14ac:dyDescent="0.25">
      <c r="B648" s="1"/>
      <c r="C648" s="1"/>
      <c r="D648" s="1"/>
    </row>
    <row r="649" spans="2:4" ht="14.25" customHeight="1" x14ac:dyDescent="0.25">
      <c r="B649" s="1"/>
      <c r="C649" s="1"/>
      <c r="D649" s="1"/>
    </row>
    <row r="650" spans="2:4" ht="14.25" customHeight="1" x14ac:dyDescent="0.25">
      <c r="B650" s="1"/>
      <c r="C650" s="1"/>
      <c r="D650" s="1"/>
    </row>
    <row r="651" spans="2:4" ht="14.25" customHeight="1" x14ac:dyDescent="0.25">
      <c r="B651" s="1"/>
      <c r="C651" s="1"/>
      <c r="D651" s="1"/>
    </row>
    <row r="652" spans="2:4" ht="14.25" customHeight="1" x14ac:dyDescent="0.25">
      <c r="B652" s="1"/>
      <c r="C652" s="1"/>
      <c r="D652" s="1"/>
    </row>
    <row r="653" spans="2:4" ht="14.25" customHeight="1" x14ac:dyDescent="0.25">
      <c r="B653" s="1"/>
      <c r="C653" s="1"/>
      <c r="D653" s="1"/>
    </row>
    <row r="654" spans="2:4" ht="14.25" customHeight="1" x14ac:dyDescent="0.25">
      <c r="B654" s="1"/>
      <c r="C654" s="1"/>
      <c r="D654" s="1"/>
    </row>
    <row r="655" spans="2:4" ht="14.25" customHeight="1" x14ac:dyDescent="0.25">
      <c r="B655" s="1"/>
      <c r="C655" s="1"/>
      <c r="D655" s="1"/>
    </row>
    <row r="656" spans="2:4" ht="14.25" customHeight="1" x14ac:dyDescent="0.25">
      <c r="B656" s="1"/>
      <c r="C656" s="1"/>
      <c r="D656" s="1"/>
    </row>
    <row r="657" spans="2:4" ht="14.25" customHeight="1" x14ac:dyDescent="0.25">
      <c r="B657" s="1"/>
      <c r="C657" s="1"/>
      <c r="D657" s="1"/>
    </row>
    <row r="658" spans="2:4" ht="14.25" customHeight="1" x14ac:dyDescent="0.25">
      <c r="B658" s="1"/>
      <c r="C658" s="1"/>
      <c r="D658" s="1"/>
    </row>
    <row r="659" spans="2:4" ht="14.25" customHeight="1" x14ac:dyDescent="0.25">
      <c r="B659" s="1"/>
      <c r="C659" s="1"/>
      <c r="D659" s="1"/>
    </row>
    <row r="660" spans="2:4" ht="14.25" customHeight="1" x14ac:dyDescent="0.25">
      <c r="B660" s="1"/>
      <c r="C660" s="1"/>
      <c r="D660" s="1"/>
    </row>
    <row r="661" spans="2:4" ht="14.25" customHeight="1" x14ac:dyDescent="0.25">
      <c r="B661" s="1"/>
      <c r="C661" s="1"/>
      <c r="D661" s="1"/>
    </row>
    <row r="662" spans="2:4" ht="14.25" customHeight="1" x14ac:dyDescent="0.25">
      <c r="B662" s="1"/>
      <c r="C662" s="1"/>
      <c r="D662" s="1"/>
    </row>
    <row r="663" spans="2:4" ht="14.25" customHeight="1" x14ac:dyDescent="0.25">
      <c r="B663" s="1"/>
      <c r="C663" s="1"/>
      <c r="D663" s="1"/>
    </row>
    <row r="664" spans="2:4" ht="14.25" customHeight="1" x14ac:dyDescent="0.25">
      <c r="B664" s="1"/>
      <c r="C664" s="1"/>
      <c r="D664" s="1"/>
    </row>
    <row r="665" spans="2:4" ht="14.25" customHeight="1" x14ac:dyDescent="0.25">
      <c r="B665" s="1"/>
      <c r="C665" s="1"/>
      <c r="D665" s="1"/>
    </row>
    <row r="666" spans="2:4" ht="14.25" customHeight="1" x14ac:dyDescent="0.25">
      <c r="B666" s="1"/>
      <c r="C666" s="1"/>
      <c r="D666" s="1"/>
    </row>
    <row r="667" spans="2:4" ht="14.25" customHeight="1" x14ac:dyDescent="0.25">
      <c r="B667" s="1"/>
      <c r="C667" s="1"/>
      <c r="D667" s="1"/>
    </row>
    <row r="668" spans="2:4" ht="14.25" customHeight="1" x14ac:dyDescent="0.25">
      <c r="B668" s="1"/>
      <c r="C668" s="1"/>
      <c r="D668" s="1"/>
    </row>
    <row r="669" spans="2:4" ht="14.25" customHeight="1" x14ac:dyDescent="0.25">
      <c r="B669" s="1"/>
      <c r="C669" s="1"/>
      <c r="D669" s="1"/>
    </row>
    <row r="670" spans="2:4" ht="14.25" customHeight="1" x14ac:dyDescent="0.25">
      <c r="B670" s="1"/>
      <c r="C670" s="1"/>
      <c r="D670" s="1"/>
    </row>
    <row r="671" spans="2:4" ht="14.25" customHeight="1" x14ac:dyDescent="0.25">
      <c r="B671" s="1"/>
      <c r="C671" s="1"/>
      <c r="D671" s="1"/>
    </row>
    <row r="672" spans="2:4" ht="14.25" customHeight="1" x14ac:dyDescent="0.25">
      <c r="B672" s="1"/>
      <c r="C672" s="1"/>
      <c r="D672" s="1"/>
    </row>
    <row r="673" spans="2:4" ht="14.25" customHeight="1" x14ac:dyDescent="0.25">
      <c r="B673" s="1"/>
      <c r="C673" s="1"/>
      <c r="D673" s="1"/>
    </row>
    <row r="674" spans="2:4" ht="14.25" customHeight="1" x14ac:dyDescent="0.25">
      <c r="B674" s="1"/>
      <c r="C674" s="1"/>
      <c r="D674" s="1"/>
    </row>
    <row r="675" spans="2:4" ht="14.25" customHeight="1" x14ac:dyDescent="0.25">
      <c r="B675" s="1"/>
      <c r="C675" s="1"/>
      <c r="D675" s="1"/>
    </row>
    <row r="676" spans="2:4" ht="14.25" customHeight="1" x14ac:dyDescent="0.25">
      <c r="B676" s="1"/>
      <c r="C676" s="1"/>
      <c r="D676" s="1"/>
    </row>
    <row r="677" spans="2:4" ht="14.25" customHeight="1" x14ac:dyDescent="0.25">
      <c r="B677" s="1"/>
      <c r="C677" s="1"/>
      <c r="D677" s="1"/>
    </row>
    <row r="678" spans="2:4" ht="14.25" customHeight="1" x14ac:dyDescent="0.25">
      <c r="B678" s="1"/>
      <c r="C678" s="1"/>
      <c r="D678" s="1"/>
    </row>
    <row r="679" spans="2:4" ht="14.25" customHeight="1" x14ac:dyDescent="0.25">
      <c r="B679" s="1"/>
      <c r="C679" s="1"/>
      <c r="D679" s="1"/>
    </row>
    <row r="680" spans="2:4" ht="14.25" customHeight="1" x14ac:dyDescent="0.25">
      <c r="B680" s="1"/>
      <c r="C680" s="1"/>
      <c r="D680" s="1"/>
    </row>
    <row r="681" spans="2:4" ht="14.25" customHeight="1" x14ac:dyDescent="0.25">
      <c r="B681" s="1"/>
      <c r="C681" s="1"/>
      <c r="D681" s="1"/>
    </row>
    <row r="682" spans="2:4" ht="14.25" customHeight="1" x14ac:dyDescent="0.25">
      <c r="B682" s="1"/>
      <c r="C682" s="1"/>
      <c r="D682" s="1"/>
    </row>
    <row r="683" spans="2:4" ht="14.25" customHeight="1" x14ac:dyDescent="0.25">
      <c r="B683" s="1"/>
      <c r="C683" s="1"/>
      <c r="D683" s="1"/>
    </row>
    <row r="684" spans="2:4" ht="14.25" customHeight="1" x14ac:dyDescent="0.25">
      <c r="B684" s="1"/>
      <c r="C684" s="1"/>
      <c r="D684" s="1"/>
    </row>
    <row r="685" spans="2:4" ht="14.25" customHeight="1" x14ac:dyDescent="0.25">
      <c r="B685" s="1"/>
      <c r="C685" s="1"/>
      <c r="D685" s="1"/>
    </row>
    <row r="686" spans="2:4" ht="14.25" customHeight="1" x14ac:dyDescent="0.25">
      <c r="B686" s="1"/>
      <c r="C686" s="1"/>
      <c r="D686" s="1"/>
    </row>
    <row r="687" spans="2:4" ht="14.25" customHeight="1" x14ac:dyDescent="0.25">
      <c r="B687" s="1"/>
      <c r="C687" s="1"/>
      <c r="D687" s="1"/>
    </row>
    <row r="688" spans="2:4" ht="14.25" customHeight="1" x14ac:dyDescent="0.25">
      <c r="B688" s="1"/>
      <c r="C688" s="1"/>
      <c r="D688" s="1"/>
    </row>
    <row r="689" spans="2:4" ht="14.25" customHeight="1" x14ac:dyDescent="0.25">
      <c r="B689" s="1"/>
      <c r="C689" s="1"/>
      <c r="D689" s="1"/>
    </row>
    <row r="690" spans="2:4" ht="14.25" customHeight="1" x14ac:dyDescent="0.25">
      <c r="B690" s="1"/>
      <c r="C690" s="1"/>
      <c r="D690" s="1"/>
    </row>
    <row r="691" spans="2:4" ht="14.25" customHeight="1" x14ac:dyDescent="0.25">
      <c r="B691" s="1"/>
      <c r="C691" s="1"/>
      <c r="D691" s="1"/>
    </row>
    <row r="692" spans="2:4" ht="14.25" customHeight="1" x14ac:dyDescent="0.25">
      <c r="B692" s="1"/>
      <c r="C692" s="1"/>
      <c r="D692" s="1"/>
    </row>
    <row r="693" spans="2:4" ht="14.25" customHeight="1" x14ac:dyDescent="0.25">
      <c r="B693" s="1"/>
      <c r="C693" s="1"/>
      <c r="D693" s="1"/>
    </row>
    <row r="694" spans="2:4" ht="14.25" customHeight="1" x14ac:dyDescent="0.25">
      <c r="B694" s="1"/>
      <c r="C694" s="1"/>
      <c r="D694" s="1"/>
    </row>
    <row r="695" spans="2:4" ht="14.25" customHeight="1" x14ac:dyDescent="0.25">
      <c r="B695" s="1"/>
      <c r="C695" s="1"/>
      <c r="D695" s="1"/>
    </row>
    <row r="696" spans="2:4" ht="14.25" customHeight="1" x14ac:dyDescent="0.25">
      <c r="B696" s="1"/>
      <c r="C696" s="1"/>
      <c r="D696" s="1"/>
    </row>
    <row r="697" spans="2:4" ht="14.25" customHeight="1" x14ac:dyDescent="0.25">
      <c r="B697" s="1"/>
      <c r="C697" s="1"/>
      <c r="D697" s="1"/>
    </row>
    <row r="698" spans="2:4" ht="14.25" customHeight="1" x14ac:dyDescent="0.25">
      <c r="B698" s="1"/>
      <c r="C698" s="1"/>
      <c r="D698" s="1"/>
    </row>
    <row r="699" spans="2:4" ht="14.25" customHeight="1" x14ac:dyDescent="0.25">
      <c r="B699" s="1"/>
      <c r="C699" s="1"/>
      <c r="D699" s="1"/>
    </row>
    <row r="700" spans="2:4" ht="14.25" customHeight="1" x14ac:dyDescent="0.25">
      <c r="B700" s="1"/>
      <c r="C700" s="1"/>
      <c r="D700" s="1"/>
    </row>
    <row r="701" spans="2:4" ht="14.25" customHeight="1" x14ac:dyDescent="0.25">
      <c r="B701" s="1"/>
      <c r="C701" s="1"/>
      <c r="D701" s="1"/>
    </row>
    <row r="702" spans="2:4" ht="14.25" customHeight="1" x14ac:dyDescent="0.25">
      <c r="B702" s="1"/>
      <c r="C702" s="1"/>
      <c r="D702" s="1"/>
    </row>
    <row r="703" spans="2:4" ht="14.25" customHeight="1" x14ac:dyDescent="0.25">
      <c r="B703" s="1"/>
      <c r="C703" s="1"/>
      <c r="D703" s="1"/>
    </row>
    <row r="704" spans="2:4" ht="14.25" customHeight="1" x14ac:dyDescent="0.25">
      <c r="B704" s="1"/>
      <c r="C704" s="1"/>
      <c r="D704" s="1"/>
    </row>
    <row r="705" spans="2:4" ht="14.25" customHeight="1" x14ac:dyDescent="0.25">
      <c r="B705" s="1"/>
      <c r="C705" s="1"/>
      <c r="D705" s="1"/>
    </row>
    <row r="706" spans="2:4" ht="14.25" customHeight="1" x14ac:dyDescent="0.25">
      <c r="B706" s="1"/>
      <c r="C706" s="1"/>
      <c r="D706" s="1"/>
    </row>
    <row r="707" spans="2:4" ht="14.25" customHeight="1" x14ac:dyDescent="0.25">
      <c r="B707" s="1"/>
      <c r="C707" s="1"/>
      <c r="D707" s="1"/>
    </row>
    <row r="708" spans="2:4" ht="14.25" customHeight="1" x14ac:dyDescent="0.25">
      <c r="B708" s="1"/>
      <c r="C708" s="1"/>
      <c r="D708" s="1"/>
    </row>
    <row r="709" spans="2:4" ht="14.25" customHeight="1" x14ac:dyDescent="0.25">
      <c r="B709" s="1"/>
      <c r="C709" s="1"/>
      <c r="D709" s="1"/>
    </row>
    <row r="710" spans="2:4" ht="14.25" customHeight="1" x14ac:dyDescent="0.25">
      <c r="B710" s="1"/>
      <c r="C710" s="1"/>
      <c r="D710" s="1"/>
    </row>
    <row r="711" spans="2:4" ht="14.25" customHeight="1" x14ac:dyDescent="0.25">
      <c r="B711" s="1"/>
      <c r="C711" s="1"/>
      <c r="D711" s="1"/>
    </row>
    <row r="712" spans="2:4" ht="14.25" customHeight="1" x14ac:dyDescent="0.25">
      <c r="B712" s="1"/>
      <c r="C712" s="1"/>
      <c r="D712" s="1"/>
    </row>
    <row r="713" spans="2:4" ht="14.25" customHeight="1" x14ac:dyDescent="0.25">
      <c r="B713" s="1"/>
      <c r="C713" s="1"/>
      <c r="D713" s="1"/>
    </row>
    <row r="714" spans="2:4" ht="14.25" customHeight="1" x14ac:dyDescent="0.25">
      <c r="B714" s="1"/>
      <c r="C714" s="1"/>
      <c r="D714" s="1"/>
    </row>
    <row r="715" spans="2:4" ht="14.25" customHeight="1" x14ac:dyDescent="0.25">
      <c r="B715" s="1"/>
      <c r="C715" s="1"/>
      <c r="D715" s="1"/>
    </row>
    <row r="716" spans="2:4" ht="14.25" customHeight="1" x14ac:dyDescent="0.25">
      <c r="B716" s="1"/>
      <c r="C716" s="1"/>
      <c r="D716" s="1"/>
    </row>
    <row r="717" spans="2:4" ht="14.25" customHeight="1" x14ac:dyDescent="0.25">
      <c r="B717" s="1"/>
      <c r="C717" s="1"/>
      <c r="D717" s="1"/>
    </row>
    <row r="718" spans="2:4" ht="14.25" customHeight="1" x14ac:dyDescent="0.25">
      <c r="B718" s="1"/>
      <c r="C718" s="1"/>
      <c r="D718" s="1"/>
    </row>
    <row r="719" spans="2:4" ht="14.25" customHeight="1" x14ac:dyDescent="0.25">
      <c r="B719" s="1"/>
      <c r="C719" s="1"/>
      <c r="D719" s="1"/>
    </row>
    <row r="720" spans="2:4" ht="14.25" customHeight="1" x14ac:dyDescent="0.25">
      <c r="B720" s="1"/>
      <c r="C720" s="1"/>
      <c r="D720" s="1"/>
    </row>
    <row r="721" spans="2:4" ht="14.25" customHeight="1" x14ac:dyDescent="0.25">
      <c r="B721" s="1"/>
      <c r="C721" s="1"/>
      <c r="D721" s="1"/>
    </row>
    <row r="722" spans="2:4" ht="14.25" customHeight="1" x14ac:dyDescent="0.25">
      <c r="B722" s="1"/>
      <c r="C722" s="1"/>
      <c r="D722" s="1"/>
    </row>
    <row r="723" spans="2:4" ht="14.25" customHeight="1" x14ac:dyDescent="0.25">
      <c r="B723" s="1"/>
      <c r="C723" s="1"/>
      <c r="D723" s="1"/>
    </row>
    <row r="724" spans="2:4" ht="14.25" customHeight="1" x14ac:dyDescent="0.25">
      <c r="B724" s="1"/>
      <c r="C724" s="1"/>
      <c r="D724" s="1"/>
    </row>
    <row r="725" spans="2:4" ht="14.25" customHeight="1" x14ac:dyDescent="0.25">
      <c r="B725" s="1"/>
      <c r="C725" s="1"/>
      <c r="D725" s="1"/>
    </row>
    <row r="726" spans="2:4" ht="14.25" customHeight="1" x14ac:dyDescent="0.25">
      <c r="B726" s="1"/>
      <c r="C726" s="1"/>
      <c r="D726" s="1"/>
    </row>
    <row r="727" spans="2:4" ht="14.25" customHeight="1" x14ac:dyDescent="0.25">
      <c r="B727" s="1"/>
      <c r="C727" s="1"/>
      <c r="D727" s="1"/>
    </row>
    <row r="728" spans="2:4" ht="14.25" customHeight="1" x14ac:dyDescent="0.25">
      <c r="B728" s="1"/>
      <c r="C728" s="1"/>
      <c r="D728" s="1"/>
    </row>
    <row r="729" spans="2:4" ht="14.25" customHeight="1" x14ac:dyDescent="0.25">
      <c r="B729" s="1"/>
      <c r="C729" s="1"/>
      <c r="D729" s="1"/>
    </row>
    <row r="730" spans="2:4" ht="14.25" customHeight="1" x14ac:dyDescent="0.25">
      <c r="B730" s="1"/>
      <c r="C730" s="1"/>
      <c r="D730" s="1"/>
    </row>
    <row r="731" spans="2:4" ht="14.25" customHeight="1" x14ac:dyDescent="0.25">
      <c r="B731" s="1"/>
      <c r="C731" s="1"/>
      <c r="D731" s="1"/>
    </row>
    <row r="732" spans="2:4" ht="14.25" customHeight="1" x14ac:dyDescent="0.25">
      <c r="B732" s="1"/>
      <c r="C732" s="1"/>
      <c r="D732" s="1"/>
    </row>
    <row r="733" spans="2:4" ht="14.25" customHeight="1" x14ac:dyDescent="0.25">
      <c r="B733" s="1"/>
      <c r="C733" s="1"/>
      <c r="D733" s="1"/>
    </row>
    <row r="734" spans="2:4" ht="14.25" customHeight="1" x14ac:dyDescent="0.25">
      <c r="B734" s="1"/>
      <c r="C734" s="1"/>
      <c r="D734" s="1"/>
    </row>
    <row r="735" spans="2:4" ht="14.25" customHeight="1" x14ac:dyDescent="0.25">
      <c r="B735" s="1"/>
      <c r="C735" s="1"/>
      <c r="D735" s="1"/>
    </row>
    <row r="736" spans="2:4" ht="14.25" customHeight="1" x14ac:dyDescent="0.25">
      <c r="B736" s="1"/>
      <c r="C736" s="1"/>
      <c r="D736" s="1"/>
    </row>
    <row r="737" spans="2:4" ht="14.25" customHeight="1" x14ac:dyDescent="0.25">
      <c r="B737" s="1"/>
      <c r="C737" s="1"/>
      <c r="D737" s="1"/>
    </row>
    <row r="738" spans="2:4" ht="14.25" customHeight="1" x14ac:dyDescent="0.25">
      <c r="B738" s="1"/>
      <c r="C738" s="1"/>
      <c r="D738" s="1"/>
    </row>
    <row r="739" spans="2:4" ht="14.25" customHeight="1" x14ac:dyDescent="0.25">
      <c r="B739" s="1"/>
      <c r="C739" s="1"/>
      <c r="D739" s="1"/>
    </row>
    <row r="740" spans="2:4" ht="14.25" customHeight="1" x14ac:dyDescent="0.25">
      <c r="B740" s="1"/>
      <c r="C740" s="1"/>
      <c r="D740" s="1"/>
    </row>
    <row r="741" spans="2:4" ht="14.25" customHeight="1" x14ac:dyDescent="0.25">
      <c r="B741" s="1"/>
      <c r="C741" s="1"/>
      <c r="D741" s="1"/>
    </row>
    <row r="742" spans="2:4" ht="14.25" customHeight="1" x14ac:dyDescent="0.25">
      <c r="B742" s="1"/>
      <c r="C742" s="1"/>
      <c r="D742" s="1"/>
    </row>
    <row r="743" spans="2:4" ht="14.25" customHeight="1" x14ac:dyDescent="0.25">
      <c r="B743" s="1"/>
      <c r="C743" s="1"/>
      <c r="D743" s="1"/>
    </row>
    <row r="744" spans="2:4" ht="14.25" customHeight="1" x14ac:dyDescent="0.25">
      <c r="B744" s="1"/>
      <c r="C744" s="1"/>
      <c r="D744" s="1"/>
    </row>
    <row r="745" spans="2:4" ht="14.25" customHeight="1" x14ac:dyDescent="0.25">
      <c r="B745" s="1"/>
      <c r="C745" s="1"/>
      <c r="D745" s="1"/>
    </row>
    <row r="746" spans="2:4" ht="14.25" customHeight="1" x14ac:dyDescent="0.25">
      <c r="B746" s="1"/>
      <c r="C746" s="1"/>
      <c r="D746" s="1"/>
    </row>
    <row r="747" spans="2:4" ht="14.25" customHeight="1" x14ac:dyDescent="0.25">
      <c r="B747" s="1"/>
      <c r="C747" s="1"/>
      <c r="D747" s="1"/>
    </row>
    <row r="748" spans="2:4" ht="14.25" customHeight="1" x14ac:dyDescent="0.25">
      <c r="B748" s="1"/>
      <c r="C748" s="1"/>
      <c r="D748" s="1"/>
    </row>
    <row r="749" spans="2:4" ht="14.25" customHeight="1" x14ac:dyDescent="0.25">
      <c r="B749" s="1"/>
      <c r="C749" s="1"/>
      <c r="D749" s="1"/>
    </row>
    <row r="750" spans="2:4" ht="14.25" customHeight="1" x14ac:dyDescent="0.25">
      <c r="B750" s="1"/>
      <c r="C750" s="1"/>
      <c r="D750" s="1"/>
    </row>
    <row r="751" spans="2:4" ht="14.25" customHeight="1" x14ac:dyDescent="0.25">
      <c r="B751" s="1"/>
      <c r="C751" s="1"/>
      <c r="D751" s="1"/>
    </row>
    <row r="752" spans="2:4" ht="14.25" customHeight="1" x14ac:dyDescent="0.25">
      <c r="B752" s="1"/>
      <c r="C752" s="1"/>
      <c r="D752" s="1"/>
    </row>
    <row r="753" spans="2:4" ht="14.25" customHeight="1" x14ac:dyDescent="0.25">
      <c r="B753" s="1"/>
      <c r="C753" s="1"/>
      <c r="D753" s="1"/>
    </row>
    <row r="754" spans="2:4" ht="14.25" customHeight="1" x14ac:dyDescent="0.25">
      <c r="B754" s="1"/>
      <c r="C754" s="1"/>
      <c r="D754" s="1"/>
    </row>
    <row r="755" spans="2:4" ht="14.25" customHeight="1" x14ac:dyDescent="0.25">
      <c r="B755" s="1"/>
      <c r="C755" s="1"/>
      <c r="D755" s="1"/>
    </row>
    <row r="756" spans="2:4" ht="14.25" customHeight="1" x14ac:dyDescent="0.25">
      <c r="B756" s="1"/>
      <c r="C756" s="1"/>
      <c r="D756" s="1"/>
    </row>
    <row r="757" spans="2:4" ht="14.25" customHeight="1" x14ac:dyDescent="0.25">
      <c r="B757" s="1"/>
      <c r="C757" s="1"/>
      <c r="D757" s="1"/>
    </row>
    <row r="758" spans="2:4" ht="14.25" customHeight="1" x14ac:dyDescent="0.25">
      <c r="B758" s="1"/>
      <c r="C758" s="1"/>
      <c r="D758" s="1"/>
    </row>
    <row r="759" spans="2:4" ht="14.25" customHeight="1" x14ac:dyDescent="0.25">
      <c r="B759" s="1"/>
      <c r="C759" s="1"/>
      <c r="D759" s="1"/>
    </row>
    <row r="760" spans="2:4" ht="14.25" customHeight="1" x14ac:dyDescent="0.25">
      <c r="B760" s="1"/>
      <c r="C760" s="1"/>
      <c r="D760" s="1"/>
    </row>
    <row r="761" spans="2:4" ht="14.25" customHeight="1" x14ac:dyDescent="0.25">
      <c r="B761" s="1"/>
      <c r="C761" s="1"/>
      <c r="D761" s="1"/>
    </row>
    <row r="762" spans="2:4" ht="14.25" customHeight="1" x14ac:dyDescent="0.25">
      <c r="B762" s="1"/>
      <c r="C762" s="1"/>
      <c r="D762" s="1"/>
    </row>
    <row r="763" spans="2:4" ht="14.25" customHeight="1" x14ac:dyDescent="0.25">
      <c r="B763" s="1"/>
      <c r="C763" s="1"/>
      <c r="D763" s="1"/>
    </row>
    <row r="764" spans="2:4" ht="14.25" customHeight="1" x14ac:dyDescent="0.25">
      <c r="B764" s="1"/>
      <c r="C764" s="1"/>
      <c r="D764" s="1"/>
    </row>
    <row r="765" spans="2:4" ht="14.25" customHeight="1" x14ac:dyDescent="0.25">
      <c r="B765" s="1"/>
      <c r="C765" s="1"/>
      <c r="D765" s="1"/>
    </row>
    <row r="766" spans="2:4" ht="14.25" customHeight="1" x14ac:dyDescent="0.25">
      <c r="B766" s="1"/>
      <c r="C766" s="1"/>
      <c r="D766" s="1"/>
    </row>
    <row r="767" spans="2:4" ht="14.25" customHeight="1" x14ac:dyDescent="0.25">
      <c r="B767" s="1"/>
      <c r="C767" s="1"/>
      <c r="D767" s="1"/>
    </row>
    <row r="768" spans="2:4" ht="14.25" customHeight="1" x14ac:dyDescent="0.25">
      <c r="B768" s="1"/>
      <c r="C768" s="1"/>
      <c r="D768" s="1"/>
    </row>
    <row r="769" spans="2:4" ht="14.25" customHeight="1" x14ac:dyDescent="0.25">
      <c r="B769" s="1"/>
      <c r="C769" s="1"/>
      <c r="D769" s="1"/>
    </row>
    <row r="770" spans="2:4" ht="14.25" customHeight="1" x14ac:dyDescent="0.25">
      <c r="B770" s="1"/>
      <c r="C770" s="1"/>
      <c r="D770" s="1"/>
    </row>
    <row r="771" spans="2:4" ht="14.25" customHeight="1" x14ac:dyDescent="0.25">
      <c r="B771" s="1"/>
      <c r="C771" s="1"/>
      <c r="D771" s="1"/>
    </row>
    <row r="772" spans="2:4" ht="14.25" customHeight="1" x14ac:dyDescent="0.25">
      <c r="B772" s="1"/>
      <c r="C772" s="1"/>
      <c r="D772" s="1"/>
    </row>
    <row r="773" spans="2:4" ht="14.25" customHeight="1" x14ac:dyDescent="0.25">
      <c r="B773" s="1"/>
      <c r="C773" s="1"/>
      <c r="D773" s="1"/>
    </row>
    <row r="774" spans="2:4" ht="14.25" customHeight="1" x14ac:dyDescent="0.25">
      <c r="B774" s="1"/>
      <c r="C774" s="1"/>
      <c r="D774" s="1"/>
    </row>
    <row r="775" spans="2:4" ht="14.25" customHeight="1" x14ac:dyDescent="0.25">
      <c r="B775" s="1"/>
      <c r="C775" s="1"/>
      <c r="D775" s="1"/>
    </row>
    <row r="776" spans="2:4" ht="14.25" customHeight="1" x14ac:dyDescent="0.25">
      <c r="B776" s="1"/>
      <c r="C776" s="1"/>
      <c r="D776" s="1"/>
    </row>
    <row r="777" spans="2:4" ht="14.25" customHeight="1" x14ac:dyDescent="0.25">
      <c r="B777" s="1"/>
      <c r="C777" s="1"/>
      <c r="D777" s="1"/>
    </row>
    <row r="778" spans="2:4" ht="14.25" customHeight="1" x14ac:dyDescent="0.25">
      <c r="B778" s="1"/>
      <c r="C778" s="1"/>
      <c r="D778" s="1"/>
    </row>
    <row r="779" spans="2:4" ht="14.25" customHeight="1" x14ac:dyDescent="0.25">
      <c r="B779" s="1"/>
      <c r="C779" s="1"/>
      <c r="D779" s="1"/>
    </row>
    <row r="780" spans="2:4" ht="14.25" customHeight="1" x14ac:dyDescent="0.25">
      <c r="B780" s="1"/>
      <c r="C780" s="1"/>
      <c r="D780" s="1"/>
    </row>
    <row r="781" spans="2:4" ht="14.25" customHeight="1" x14ac:dyDescent="0.25">
      <c r="B781" s="1"/>
      <c r="C781" s="1"/>
      <c r="D781" s="1"/>
    </row>
    <row r="782" spans="2:4" ht="14.25" customHeight="1" x14ac:dyDescent="0.25">
      <c r="B782" s="1"/>
      <c r="C782" s="1"/>
      <c r="D782" s="1"/>
    </row>
    <row r="783" spans="2:4" ht="14.25" customHeight="1" x14ac:dyDescent="0.25">
      <c r="B783" s="1"/>
      <c r="C783" s="1"/>
      <c r="D783" s="1"/>
    </row>
    <row r="784" spans="2:4" ht="14.25" customHeight="1" x14ac:dyDescent="0.25">
      <c r="B784" s="1"/>
      <c r="C784" s="1"/>
      <c r="D784" s="1"/>
    </row>
    <row r="785" spans="2:4" ht="14.25" customHeight="1" x14ac:dyDescent="0.25">
      <c r="B785" s="1"/>
      <c r="C785" s="1"/>
      <c r="D785" s="1"/>
    </row>
    <row r="786" spans="2:4" ht="14.25" customHeight="1" x14ac:dyDescent="0.25">
      <c r="B786" s="1"/>
      <c r="C786" s="1"/>
      <c r="D786" s="1"/>
    </row>
    <row r="787" spans="2:4" ht="14.25" customHeight="1" x14ac:dyDescent="0.25">
      <c r="B787" s="1"/>
      <c r="C787" s="1"/>
      <c r="D787" s="1"/>
    </row>
    <row r="788" spans="2:4" ht="14.25" customHeight="1" x14ac:dyDescent="0.25">
      <c r="B788" s="1"/>
      <c r="C788" s="1"/>
      <c r="D788" s="1"/>
    </row>
    <row r="789" spans="2:4" ht="14.25" customHeight="1" x14ac:dyDescent="0.25">
      <c r="B789" s="1"/>
      <c r="C789" s="1"/>
      <c r="D789" s="1"/>
    </row>
    <row r="790" spans="2:4" ht="14.25" customHeight="1" x14ac:dyDescent="0.25">
      <c r="B790" s="1"/>
      <c r="C790" s="1"/>
      <c r="D790" s="1"/>
    </row>
    <row r="791" spans="2:4" ht="14.25" customHeight="1" x14ac:dyDescent="0.25">
      <c r="B791" s="1"/>
      <c r="C791" s="1"/>
      <c r="D791" s="1"/>
    </row>
    <row r="792" spans="2:4" ht="14.25" customHeight="1" x14ac:dyDescent="0.25">
      <c r="B792" s="1"/>
      <c r="C792" s="1"/>
      <c r="D792" s="1"/>
    </row>
    <row r="793" spans="2:4" ht="14.25" customHeight="1" x14ac:dyDescent="0.25">
      <c r="B793" s="1"/>
      <c r="C793" s="1"/>
      <c r="D793" s="1"/>
    </row>
    <row r="794" spans="2:4" ht="14.25" customHeight="1" x14ac:dyDescent="0.25">
      <c r="B794" s="1"/>
      <c r="C794" s="1"/>
      <c r="D794" s="1"/>
    </row>
    <row r="795" spans="2:4" ht="14.25" customHeight="1" x14ac:dyDescent="0.25">
      <c r="B795" s="1"/>
      <c r="C795" s="1"/>
      <c r="D795" s="1"/>
    </row>
    <row r="796" spans="2:4" ht="14.25" customHeight="1" x14ac:dyDescent="0.25">
      <c r="B796" s="1"/>
      <c r="C796" s="1"/>
      <c r="D796" s="1"/>
    </row>
    <row r="797" spans="2:4" ht="14.25" customHeight="1" x14ac:dyDescent="0.25">
      <c r="B797" s="1"/>
      <c r="C797" s="1"/>
      <c r="D797" s="1"/>
    </row>
    <row r="798" spans="2:4" ht="14.25" customHeight="1" x14ac:dyDescent="0.25">
      <c r="B798" s="1"/>
      <c r="C798" s="1"/>
      <c r="D798" s="1"/>
    </row>
    <row r="799" spans="2:4" ht="14.25" customHeight="1" x14ac:dyDescent="0.25">
      <c r="B799" s="1"/>
      <c r="C799" s="1"/>
      <c r="D799" s="1"/>
    </row>
    <row r="800" spans="2:4" ht="14.25" customHeight="1" x14ac:dyDescent="0.25">
      <c r="B800" s="1"/>
      <c r="C800" s="1"/>
      <c r="D800" s="1"/>
    </row>
    <row r="801" spans="2:4" ht="14.25" customHeight="1" x14ac:dyDescent="0.25">
      <c r="B801" s="1"/>
      <c r="C801" s="1"/>
      <c r="D801" s="1"/>
    </row>
    <row r="802" spans="2:4" ht="14.25" customHeight="1" x14ac:dyDescent="0.25">
      <c r="B802" s="1"/>
      <c r="C802" s="1"/>
      <c r="D802" s="1"/>
    </row>
    <row r="803" spans="2:4" ht="14.25" customHeight="1" x14ac:dyDescent="0.25">
      <c r="B803" s="1"/>
      <c r="C803" s="1"/>
      <c r="D803" s="1"/>
    </row>
    <row r="804" spans="2:4" ht="14.25" customHeight="1" x14ac:dyDescent="0.25">
      <c r="B804" s="1"/>
      <c r="C804" s="1"/>
      <c r="D804" s="1"/>
    </row>
    <row r="805" spans="2:4" ht="14.25" customHeight="1" x14ac:dyDescent="0.25">
      <c r="B805" s="1"/>
      <c r="C805" s="1"/>
      <c r="D805" s="1"/>
    </row>
    <row r="806" spans="2:4" ht="14.25" customHeight="1" x14ac:dyDescent="0.25">
      <c r="B806" s="1"/>
      <c r="C806" s="1"/>
      <c r="D806" s="1"/>
    </row>
    <row r="807" spans="2:4" ht="14.25" customHeight="1" x14ac:dyDescent="0.25">
      <c r="B807" s="1"/>
      <c r="C807" s="1"/>
      <c r="D807" s="1"/>
    </row>
    <row r="808" spans="2:4" ht="14.25" customHeight="1" x14ac:dyDescent="0.25">
      <c r="B808" s="1"/>
      <c r="C808" s="1"/>
      <c r="D808" s="1"/>
    </row>
    <row r="809" spans="2:4" ht="14.25" customHeight="1" x14ac:dyDescent="0.25">
      <c r="B809" s="1"/>
      <c r="C809" s="1"/>
      <c r="D809" s="1"/>
    </row>
    <row r="810" spans="2:4" ht="14.25" customHeight="1" x14ac:dyDescent="0.25">
      <c r="B810" s="1"/>
      <c r="C810" s="1"/>
      <c r="D810" s="1"/>
    </row>
    <row r="811" spans="2:4" ht="14.25" customHeight="1" x14ac:dyDescent="0.25">
      <c r="B811" s="1"/>
      <c r="C811" s="1"/>
      <c r="D811" s="1"/>
    </row>
    <row r="812" spans="2:4" ht="14.25" customHeight="1" x14ac:dyDescent="0.25">
      <c r="B812" s="1"/>
      <c r="C812" s="1"/>
      <c r="D812" s="1"/>
    </row>
    <row r="813" spans="2:4" ht="14.25" customHeight="1" x14ac:dyDescent="0.25">
      <c r="B813" s="1"/>
      <c r="C813" s="1"/>
      <c r="D813" s="1"/>
    </row>
    <row r="814" spans="2:4" ht="14.25" customHeight="1" x14ac:dyDescent="0.25">
      <c r="B814" s="1"/>
      <c r="C814" s="1"/>
      <c r="D814" s="1"/>
    </row>
    <row r="815" spans="2:4" ht="14.25" customHeight="1" x14ac:dyDescent="0.25">
      <c r="B815" s="1"/>
      <c r="C815" s="1"/>
      <c r="D815" s="1"/>
    </row>
    <row r="816" spans="2:4" ht="14.25" customHeight="1" x14ac:dyDescent="0.25">
      <c r="B816" s="1"/>
      <c r="C816" s="1"/>
      <c r="D816" s="1"/>
    </row>
    <row r="817" spans="2:4" ht="14.25" customHeight="1" x14ac:dyDescent="0.25">
      <c r="B817" s="1"/>
      <c r="C817" s="1"/>
      <c r="D817" s="1"/>
    </row>
    <row r="818" spans="2:4" ht="14.25" customHeight="1" x14ac:dyDescent="0.25">
      <c r="B818" s="1"/>
      <c r="C818" s="1"/>
      <c r="D818" s="1"/>
    </row>
    <row r="819" spans="2:4" ht="14.25" customHeight="1" x14ac:dyDescent="0.25">
      <c r="B819" s="1"/>
      <c r="C819" s="1"/>
      <c r="D819" s="1"/>
    </row>
    <row r="820" spans="2:4" ht="14.25" customHeight="1" x14ac:dyDescent="0.25">
      <c r="B820" s="1"/>
      <c r="C820" s="1"/>
      <c r="D820" s="1"/>
    </row>
    <row r="821" spans="2:4" ht="14.25" customHeight="1" x14ac:dyDescent="0.25">
      <c r="B821" s="1"/>
      <c r="C821" s="1"/>
      <c r="D821" s="1"/>
    </row>
    <row r="822" spans="2:4" ht="14.25" customHeight="1" x14ac:dyDescent="0.25">
      <c r="B822" s="1"/>
      <c r="C822" s="1"/>
      <c r="D822" s="1"/>
    </row>
    <row r="823" spans="2:4" ht="14.25" customHeight="1" x14ac:dyDescent="0.25">
      <c r="B823" s="1"/>
      <c r="C823" s="1"/>
      <c r="D823" s="1"/>
    </row>
    <row r="824" spans="2:4" ht="14.25" customHeight="1" x14ac:dyDescent="0.25">
      <c r="B824" s="1"/>
      <c r="C824" s="1"/>
      <c r="D824" s="1"/>
    </row>
    <row r="825" spans="2:4" ht="14.25" customHeight="1" x14ac:dyDescent="0.25">
      <c r="B825" s="1"/>
      <c r="C825" s="1"/>
      <c r="D825" s="1"/>
    </row>
    <row r="826" spans="2:4" ht="14.25" customHeight="1" x14ac:dyDescent="0.25">
      <c r="B826" s="1"/>
      <c r="C826" s="1"/>
      <c r="D826" s="1"/>
    </row>
    <row r="827" spans="2:4" ht="14.25" customHeight="1" x14ac:dyDescent="0.25">
      <c r="B827" s="1"/>
      <c r="C827" s="1"/>
      <c r="D827" s="1"/>
    </row>
    <row r="828" spans="2:4" ht="14.25" customHeight="1" x14ac:dyDescent="0.25">
      <c r="B828" s="1"/>
      <c r="C828" s="1"/>
      <c r="D828" s="1"/>
    </row>
    <row r="829" spans="2:4" ht="14.25" customHeight="1" x14ac:dyDescent="0.25">
      <c r="B829" s="1"/>
      <c r="C829" s="1"/>
      <c r="D829" s="1"/>
    </row>
    <row r="830" spans="2:4" ht="14.25" customHeight="1" x14ac:dyDescent="0.25">
      <c r="B830" s="1"/>
      <c r="C830" s="1"/>
      <c r="D830" s="1"/>
    </row>
    <row r="831" spans="2:4" ht="14.25" customHeight="1" x14ac:dyDescent="0.25">
      <c r="B831" s="1"/>
      <c r="C831" s="1"/>
      <c r="D831" s="1"/>
    </row>
    <row r="832" spans="2:4" ht="14.25" customHeight="1" x14ac:dyDescent="0.25">
      <c r="B832" s="1"/>
      <c r="C832" s="1"/>
      <c r="D832" s="1"/>
    </row>
    <row r="833" spans="2:4" ht="14.25" customHeight="1" x14ac:dyDescent="0.25">
      <c r="B833" s="1"/>
      <c r="C833" s="1"/>
      <c r="D833" s="1"/>
    </row>
    <row r="834" spans="2:4" ht="14.25" customHeight="1" x14ac:dyDescent="0.25">
      <c r="B834" s="1"/>
      <c r="C834" s="1"/>
      <c r="D834" s="1"/>
    </row>
    <row r="835" spans="2:4" ht="14.25" customHeight="1" x14ac:dyDescent="0.25">
      <c r="B835" s="1"/>
      <c r="C835" s="1"/>
      <c r="D835" s="1"/>
    </row>
    <row r="836" spans="2:4" ht="14.25" customHeight="1" x14ac:dyDescent="0.25">
      <c r="B836" s="1"/>
      <c r="C836" s="1"/>
      <c r="D836" s="1"/>
    </row>
    <row r="837" spans="2:4" ht="14.25" customHeight="1" x14ac:dyDescent="0.25">
      <c r="B837" s="1"/>
      <c r="C837" s="1"/>
      <c r="D837" s="1"/>
    </row>
    <row r="838" spans="2:4" ht="14.25" customHeight="1" x14ac:dyDescent="0.25">
      <c r="B838" s="1"/>
      <c r="C838" s="1"/>
      <c r="D838" s="1"/>
    </row>
    <row r="839" spans="2:4" ht="14.25" customHeight="1" x14ac:dyDescent="0.25">
      <c r="B839" s="1"/>
      <c r="C839" s="1"/>
      <c r="D839" s="1"/>
    </row>
    <row r="840" spans="2:4" ht="14.25" customHeight="1" x14ac:dyDescent="0.25">
      <c r="B840" s="1"/>
      <c r="C840" s="1"/>
      <c r="D840" s="1"/>
    </row>
    <row r="841" spans="2:4" ht="14.25" customHeight="1" x14ac:dyDescent="0.25">
      <c r="B841" s="1"/>
      <c r="C841" s="1"/>
      <c r="D841" s="1"/>
    </row>
    <row r="842" spans="2:4" ht="14.25" customHeight="1" x14ac:dyDescent="0.25">
      <c r="B842" s="1"/>
      <c r="C842" s="1"/>
      <c r="D842" s="1"/>
    </row>
    <row r="843" spans="2:4" ht="14.25" customHeight="1" x14ac:dyDescent="0.25">
      <c r="B843" s="1"/>
      <c r="C843" s="1"/>
      <c r="D843" s="1"/>
    </row>
    <row r="844" spans="2:4" ht="14.25" customHeight="1" x14ac:dyDescent="0.25">
      <c r="B844" s="1"/>
      <c r="C844" s="1"/>
      <c r="D844" s="1"/>
    </row>
    <row r="845" spans="2:4" ht="14.25" customHeight="1" x14ac:dyDescent="0.25">
      <c r="B845" s="1"/>
      <c r="C845" s="1"/>
      <c r="D845" s="1"/>
    </row>
    <row r="846" spans="2:4" ht="14.25" customHeight="1" x14ac:dyDescent="0.25">
      <c r="B846" s="1"/>
      <c r="C846" s="1"/>
      <c r="D846" s="1"/>
    </row>
    <row r="847" spans="2:4" ht="14.25" customHeight="1" x14ac:dyDescent="0.25">
      <c r="B847" s="1"/>
      <c r="C847" s="1"/>
      <c r="D847" s="1"/>
    </row>
    <row r="848" spans="2:4" ht="14.25" customHeight="1" x14ac:dyDescent="0.25">
      <c r="B848" s="1"/>
      <c r="C848" s="1"/>
      <c r="D848" s="1"/>
    </row>
    <row r="849" spans="2:4" ht="14.25" customHeight="1" x14ac:dyDescent="0.25">
      <c r="B849" s="1"/>
      <c r="C849" s="1"/>
      <c r="D849" s="1"/>
    </row>
    <row r="850" spans="2:4" ht="14.25" customHeight="1" x14ac:dyDescent="0.25">
      <c r="B850" s="1"/>
      <c r="C850" s="1"/>
      <c r="D850" s="1"/>
    </row>
    <row r="851" spans="2:4" ht="14.25" customHeight="1" x14ac:dyDescent="0.25">
      <c r="B851" s="1"/>
      <c r="C851" s="1"/>
      <c r="D851" s="1"/>
    </row>
    <row r="852" spans="2:4" ht="14.25" customHeight="1" x14ac:dyDescent="0.25">
      <c r="B852" s="1"/>
      <c r="C852" s="1"/>
      <c r="D852" s="1"/>
    </row>
    <row r="853" spans="2:4" ht="14.25" customHeight="1" x14ac:dyDescent="0.25">
      <c r="B853" s="1"/>
      <c r="C853" s="1"/>
      <c r="D853" s="1"/>
    </row>
    <row r="854" spans="2:4" ht="14.25" customHeight="1" x14ac:dyDescent="0.25">
      <c r="B854" s="1"/>
      <c r="C854" s="1"/>
      <c r="D854" s="1"/>
    </row>
    <row r="855" spans="2:4" ht="14.25" customHeight="1" x14ac:dyDescent="0.25">
      <c r="B855" s="1"/>
      <c r="C855" s="1"/>
      <c r="D855" s="1"/>
    </row>
    <row r="856" spans="2:4" ht="14.25" customHeight="1" x14ac:dyDescent="0.25">
      <c r="B856" s="1"/>
      <c r="C856" s="1"/>
      <c r="D856" s="1"/>
    </row>
    <row r="857" spans="2:4" ht="14.25" customHeight="1" x14ac:dyDescent="0.25">
      <c r="B857" s="1"/>
      <c r="C857" s="1"/>
      <c r="D857" s="1"/>
    </row>
    <row r="858" spans="2:4" ht="14.25" customHeight="1" x14ac:dyDescent="0.25">
      <c r="B858" s="1"/>
      <c r="C858" s="1"/>
      <c r="D858" s="1"/>
    </row>
    <row r="859" spans="2:4" ht="14.25" customHeight="1" x14ac:dyDescent="0.25">
      <c r="B859" s="1"/>
      <c r="C859" s="1"/>
      <c r="D859" s="1"/>
    </row>
    <row r="860" spans="2:4" ht="14.25" customHeight="1" x14ac:dyDescent="0.25">
      <c r="B860" s="1"/>
      <c r="C860" s="1"/>
      <c r="D860" s="1"/>
    </row>
    <row r="861" spans="2:4" ht="14.25" customHeight="1" x14ac:dyDescent="0.25">
      <c r="B861" s="1"/>
      <c r="C861" s="1"/>
      <c r="D861" s="1"/>
    </row>
    <row r="862" spans="2:4" ht="14.25" customHeight="1" x14ac:dyDescent="0.25">
      <c r="B862" s="1"/>
      <c r="C862" s="1"/>
      <c r="D862" s="1"/>
    </row>
    <row r="863" spans="2:4" ht="14.25" customHeight="1" x14ac:dyDescent="0.25">
      <c r="B863" s="1"/>
      <c r="C863" s="1"/>
      <c r="D863" s="1"/>
    </row>
    <row r="864" spans="2:4" ht="14.25" customHeight="1" x14ac:dyDescent="0.25">
      <c r="B864" s="1"/>
      <c r="C864" s="1"/>
      <c r="D864" s="1"/>
    </row>
    <row r="865" spans="2:4" ht="14.25" customHeight="1" x14ac:dyDescent="0.25">
      <c r="B865" s="1"/>
      <c r="C865" s="1"/>
      <c r="D865" s="1"/>
    </row>
    <row r="866" spans="2:4" ht="14.25" customHeight="1" x14ac:dyDescent="0.25">
      <c r="B866" s="1"/>
      <c r="C866" s="1"/>
      <c r="D866" s="1"/>
    </row>
    <row r="867" spans="2:4" ht="14.25" customHeight="1" x14ac:dyDescent="0.25">
      <c r="B867" s="1"/>
      <c r="C867" s="1"/>
      <c r="D867" s="1"/>
    </row>
    <row r="868" spans="2:4" ht="14.25" customHeight="1" x14ac:dyDescent="0.25">
      <c r="B868" s="1"/>
      <c r="C868" s="1"/>
      <c r="D868" s="1"/>
    </row>
    <row r="869" spans="2:4" ht="14.25" customHeight="1" x14ac:dyDescent="0.25">
      <c r="B869" s="1"/>
      <c r="C869" s="1"/>
      <c r="D869" s="1"/>
    </row>
    <row r="870" spans="2:4" ht="14.25" customHeight="1" x14ac:dyDescent="0.25">
      <c r="B870" s="1"/>
      <c r="C870" s="1"/>
      <c r="D870" s="1"/>
    </row>
    <row r="871" spans="2:4" ht="14.25" customHeight="1" x14ac:dyDescent="0.25">
      <c r="B871" s="1"/>
      <c r="C871" s="1"/>
      <c r="D871" s="1"/>
    </row>
    <row r="872" spans="2:4" ht="14.25" customHeight="1" x14ac:dyDescent="0.25">
      <c r="B872" s="1"/>
      <c r="C872" s="1"/>
      <c r="D872" s="1"/>
    </row>
    <row r="873" spans="2:4" ht="14.25" customHeight="1" x14ac:dyDescent="0.25">
      <c r="B873" s="1"/>
      <c r="C873" s="1"/>
      <c r="D873" s="1"/>
    </row>
    <row r="874" spans="2:4" ht="14.25" customHeight="1" x14ac:dyDescent="0.25">
      <c r="B874" s="1"/>
      <c r="C874" s="1"/>
      <c r="D874" s="1"/>
    </row>
    <row r="875" spans="2:4" ht="14.25" customHeight="1" x14ac:dyDescent="0.25">
      <c r="B875" s="1"/>
      <c r="C875" s="1"/>
      <c r="D875" s="1"/>
    </row>
    <row r="876" spans="2:4" ht="14.25" customHeight="1" x14ac:dyDescent="0.25">
      <c r="B876" s="1"/>
      <c r="C876" s="1"/>
      <c r="D876" s="1"/>
    </row>
    <row r="877" spans="2:4" ht="14.25" customHeight="1" x14ac:dyDescent="0.25">
      <c r="B877" s="1"/>
      <c r="C877" s="1"/>
      <c r="D877" s="1"/>
    </row>
    <row r="878" spans="2:4" ht="14.25" customHeight="1" x14ac:dyDescent="0.25">
      <c r="B878" s="1"/>
      <c r="C878" s="1"/>
      <c r="D878" s="1"/>
    </row>
    <row r="879" spans="2:4" ht="14.25" customHeight="1" x14ac:dyDescent="0.25">
      <c r="B879" s="1"/>
      <c r="C879" s="1"/>
      <c r="D879" s="1"/>
    </row>
    <row r="880" spans="2:4" ht="14.25" customHeight="1" x14ac:dyDescent="0.25">
      <c r="B880" s="1"/>
      <c r="C880" s="1"/>
      <c r="D880" s="1"/>
    </row>
    <row r="881" spans="2:4" ht="14.25" customHeight="1" x14ac:dyDescent="0.25">
      <c r="B881" s="1"/>
      <c r="C881" s="1"/>
      <c r="D881" s="1"/>
    </row>
    <row r="882" spans="2:4" ht="14.25" customHeight="1" x14ac:dyDescent="0.25">
      <c r="B882" s="1"/>
      <c r="C882" s="1"/>
      <c r="D882" s="1"/>
    </row>
    <row r="883" spans="2:4" ht="14.25" customHeight="1" x14ac:dyDescent="0.25">
      <c r="B883" s="1"/>
      <c r="C883" s="1"/>
      <c r="D883" s="1"/>
    </row>
    <row r="884" spans="2:4" ht="14.25" customHeight="1" x14ac:dyDescent="0.25">
      <c r="B884" s="1"/>
      <c r="C884" s="1"/>
      <c r="D884" s="1"/>
    </row>
    <row r="885" spans="2:4" ht="14.25" customHeight="1" x14ac:dyDescent="0.25">
      <c r="B885" s="1"/>
      <c r="C885" s="1"/>
      <c r="D885" s="1"/>
    </row>
    <row r="886" spans="2:4" ht="14.25" customHeight="1" x14ac:dyDescent="0.25">
      <c r="B886" s="1"/>
      <c r="C886" s="1"/>
      <c r="D886" s="1"/>
    </row>
    <row r="887" spans="2:4" ht="14.25" customHeight="1" x14ac:dyDescent="0.25">
      <c r="B887" s="1"/>
      <c r="C887" s="1"/>
      <c r="D887" s="1"/>
    </row>
    <row r="888" spans="2:4" ht="14.25" customHeight="1" x14ac:dyDescent="0.25">
      <c r="B888" s="1"/>
      <c r="C888" s="1"/>
      <c r="D888" s="1"/>
    </row>
    <row r="889" spans="2:4" ht="14.25" customHeight="1" x14ac:dyDescent="0.25">
      <c r="B889" s="1"/>
      <c r="C889" s="1"/>
      <c r="D889" s="1"/>
    </row>
    <row r="890" spans="2:4" ht="14.25" customHeight="1" x14ac:dyDescent="0.25">
      <c r="B890" s="1"/>
      <c r="C890" s="1"/>
      <c r="D890" s="1"/>
    </row>
    <row r="891" spans="2:4" ht="14.25" customHeight="1" x14ac:dyDescent="0.25">
      <c r="B891" s="1"/>
      <c r="C891" s="1"/>
      <c r="D891" s="1"/>
    </row>
    <row r="892" spans="2:4" ht="14.25" customHeight="1" x14ac:dyDescent="0.25">
      <c r="B892" s="1"/>
      <c r="C892" s="1"/>
      <c r="D892" s="1"/>
    </row>
    <row r="893" spans="2:4" ht="14.25" customHeight="1" x14ac:dyDescent="0.25">
      <c r="B893" s="1"/>
      <c r="C893" s="1"/>
      <c r="D893" s="1"/>
    </row>
    <row r="894" spans="2:4" ht="14.25" customHeight="1" x14ac:dyDescent="0.25">
      <c r="B894" s="1"/>
      <c r="C894" s="1"/>
      <c r="D894" s="1"/>
    </row>
    <row r="895" spans="2:4" ht="14.25" customHeight="1" x14ac:dyDescent="0.25">
      <c r="B895" s="1"/>
      <c r="C895" s="1"/>
      <c r="D895" s="1"/>
    </row>
    <row r="896" spans="2:4" ht="14.25" customHeight="1" x14ac:dyDescent="0.25">
      <c r="B896" s="1"/>
      <c r="C896" s="1"/>
      <c r="D896" s="1"/>
    </row>
    <row r="897" spans="2:4" ht="14.25" customHeight="1" x14ac:dyDescent="0.25">
      <c r="B897" s="1"/>
      <c r="C897" s="1"/>
      <c r="D897" s="1"/>
    </row>
    <row r="898" spans="2:4" ht="14.25" customHeight="1" x14ac:dyDescent="0.25">
      <c r="B898" s="1"/>
      <c r="C898" s="1"/>
      <c r="D898" s="1"/>
    </row>
    <row r="899" spans="2:4" ht="14.25" customHeight="1" x14ac:dyDescent="0.25">
      <c r="B899" s="1"/>
      <c r="C899" s="1"/>
      <c r="D899" s="1"/>
    </row>
    <row r="900" spans="2:4" ht="14.25" customHeight="1" x14ac:dyDescent="0.25">
      <c r="B900" s="1"/>
      <c r="C900" s="1"/>
      <c r="D900" s="1"/>
    </row>
    <row r="901" spans="2:4" ht="14.25" customHeight="1" x14ac:dyDescent="0.25">
      <c r="B901" s="1"/>
      <c r="C901" s="1"/>
      <c r="D901" s="1"/>
    </row>
    <row r="902" spans="2:4" ht="14.25" customHeight="1" x14ac:dyDescent="0.25">
      <c r="B902" s="1"/>
      <c r="C902" s="1"/>
      <c r="D902" s="1"/>
    </row>
    <row r="903" spans="2:4" ht="14.25" customHeight="1" x14ac:dyDescent="0.25">
      <c r="B903" s="1"/>
      <c r="C903" s="1"/>
      <c r="D903" s="1"/>
    </row>
    <row r="904" spans="2:4" ht="14.25" customHeight="1" x14ac:dyDescent="0.25">
      <c r="B904" s="1"/>
      <c r="C904" s="1"/>
      <c r="D904" s="1"/>
    </row>
    <row r="905" spans="2:4" ht="14.25" customHeight="1" x14ac:dyDescent="0.25">
      <c r="B905" s="1"/>
      <c r="C905" s="1"/>
      <c r="D905" s="1"/>
    </row>
    <row r="906" spans="2:4" ht="14.25" customHeight="1" x14ac:dyDescent="0.25">
      <c r="B906" s="1"/>
      <c r="C906" s="1"/>
      <c r="D906" s="1"/>
    </row>
    <row r="907" spans="2:4" ht="14.25" customHeight="1" x14ac:dyDescent="0.25">
      <c r="B907" s="1"/>
      <c r="C907" s="1"/>
      <c r="D907" s="1"/>
    </row>
    <row r="908" spans="2:4" ht="14.25" customHeight="1" x14ac:dyDescent="0.25">
      <c r="B908" s="1"/>
      <c r="C908" s="1"/>
      <c r="D908" s="1"/>
    </row>
    <row r="909" spans="2:4" ht="14.25" customHeight="1" x14ac:dyDescent="0.25">
      <c r="B909" s="1"/>
      <c r="C909" s="1"/>
      <c r="D909" s="1"/>
    </row>
    <row r="910" spans="2:4" ht="14.25" customHeight="1" x14ac:dyDescent="0.25">
      <c r="B910" s="1"/>
      <c r="C910" s="1"/>
      <c r="D910" s="1"/>
    </row>
    <row r="911" spans="2:4" ht="14.25" customHeight="1" x14ac:dyDescent="0.25">
      <c r="B911" s="1"/>
      <c r="C911" s="1"/>
      <c r="D911" s="1"/>
    </row>
    <row r="912" spans="2:4" ht="14.25" customHeight="1" x14ac:dyDescent="0.25">
      <c r="B912" s="1"/>
      <c r="C912" s="1"/>
      <c r="D912" s="1"/>
    </row>
    <row r="913" spans="2:4" ht="14.25" customHeight="1" x14ac:dyDescent="0.25">
      <c r="B913" s="1"/>
      <c r="C913" s="1"/>
      <c r="D913" s="1"/>
    </row>
    <row r="914" spans="2:4" ht="14.25" customHeight="1" x14ac:dyDescent="0.25">
      <c r="B914" s="1"/>
      <c r="C914" s="1"/>
      <c r="D914" s="1"/>
    </row>
    <row r="915" spans="2:4" ht="14.25" customHeight="1" x14ac:dyDescent="0.25">
      <c r="B915" s="1"/>
      <c r="C915" s="1"/>
      <c r="D915" s="1"/>
    </row>
    <row r="916" spans="2:4" ht="14.25" customHeight="1" x14ac:dyDescent="0.25">
      <c r="B916" s="1"/>
      <c r="C916" s="1"/>
      <c r="D916" s="1"/>
    </row>
    <row r="917" spans="2:4" ht="14.25" customHeight="1" x14ac:dyDescent="0.25">
      <c r="B917" s="1"/>
      <c r="C917" s="1"/>
      <c r="D917" s="1"/>
    </row>
    <row r="918" spans="2:4" ht="14.25" customHeight="1" x14ac:dyDescent="0.25">
      <c r="B918" s="1"/>
      <c r="C918" s="1"/>
      <c r="D918" s="1"/>
    </row>
    <row r="919" spans="2:4" ht="14.25" customHeight="1" x14ac:dyDescent="0.25">
      <c r="B919" s="1"/>
      <c r="C919" s="1"/>
      <c r="D919" s="1"/>
    </row>
    <row r="920" spans="2:4" ht="14.25" customHeight="1" x14ac:dyDescent="0.25">
      <c r="B920" s="1"/>
      <c r="C920" s="1"/>
      <c r="D920" s="1"/>
    </row>
    <row r="921" spans="2:4" ht="14.25" customHeight="1" x14ac:dyDescent="0.25">
      <c r="B921" s="1"/>
      <c r="C921" s="1"/>
      <c r="D921" s="1"/>
    </row>
    <row r="922" spans="2:4" ht="14.25" customHeight="1" x14ac:dyDescent="0.25">
      <c r="B922" s="1"/>
      <c r="C922" s="1"/>
      <c r="D922" s="1"/>
    </row>
    <row r="923" spans="2:4" ht="14.25" customHeight="1" x14ac:dyDescent="0.25">
      <c r="B923" s="1"/>
      <c r="C923" s="1"/>
      <c r="D923" s="1"/>
    </row>
    <row r="924" spans="2:4" ht="14.25" customHeight="1" x14ac:dyDescent="0.25">
      <c r="B924" s="1"/>
      <c r="C924" s="1"/>
      <c r="D924" s="1"/>
    </row>
    <row r="925" spans="2:4" ht="14.25" customHeight="1" x14ac:dyDescent="0.25">
      <c r="B925" s="1"/>
      <c r="C925" s="1"/>
      <c r="D925" s="1"/>
    </row>
    <row r="926" spans="2:4" ht="14.25" customHeight="1" x14ac:dyDescent="0.25">
      <c r="B926" s="1"/>
      <c r="C926" s="1"/>
      <c r="D926" s="1"/>
    </row>
    <row r="927" spans="2:4" ht="14.25" customHeight="1" x14ac:dyDescent="0.25">
      <c r="B927" s="1"/>
      <c r="C927" s="1"/>
      <c r="D927" s="1"/>
    </row>
    <row r="928" spans="2:4" ht="14.25" customHeight="1" x14ac:dyDescent="0.25">
      <c r="B928" s="1"/>
      <c r="C928" s="1"/>
      <c r="D928" s="1"/>
    </row>
    <row r="929" spans="2:4" ht="14.25" customHeight="1" x14ac:dyDescent="0.25">
      <c r="B929" s="1"/>
      <c r="C929" s="1"/>
      <c r="D929" s="1"/>
    </row>
    <row r="930" spans="2:4" ht="14.25" customHeight="1" x14ac:dyDescent="0.25">
      <c r="B930" s="1"/>
      <c r="C930" s="1"/>
      <c r="D930" s="1"/>
    </row>
    <row r="931" spans="2:4" ht="14.25" customHeight="1" x14ac:dyDescent="0.25">
      <c r="B931" s="1"/>
      <c r="C931" s="1"/>
      <c r="D931" s="1"/>
    </row>
    <row r="932" spans="2:4" ht="14.25" customHeight="1" x14ac:dyDescent="0.25">
      <c r="B932" s="1"/>
      <c r="C932" s="1"/>
      <c r="D932" s="1"/>
    </row>
    <row r="933" spans="2:4" ht="14.25" customHeight="1" x14ac:dyDescent="0.25">
      <c r="B933" s="1"/>
      <c r="C933" s="1"/>
      <c r="D933" s="1"/>
    </row>
    <row r="934" spans="2:4" ht="14.25" customHeight="1" x14ac:dyDescent="0.25">
      <c r="B934" s="1"/>
      <c r="C934" s="1"/>
      <c r="D934" s="1"/>
    </row>
    <row r="935" spans="2:4" ht="14.25" customHeight="1" x14ac:dyDescent="0.25">
      <c r="B935" s="1"/>
      <c r="C935" s="1"/>
      <c r="D935" s="1"/>
    </row>
    <row r="936" spans="2:4" ht="14.25" customHeight="1" x14ac:dyDescent="0.25">
      <c r="B936" s="1"/>
      <c r="C936" s="1"/>
      <c r="D936" s="1"/>
    </row>
    <row r="937" spans="2:4" ht="14.25" customHeight="1" x14ac:dyDescent="0.25">
      <c r="B937" s="1"/>
      <c r="C937" s="1"/>
      <c r="D937" s="1"/>
    </row>
    <row r="938" spans="2:4" ht="14.25" customHeight="1" x14ac:dyDescent="0.25">
      <c r="B938" s="1"/>
      <c r="C938" s="1"/>
      <c r="D938" s="1"/>
    </row>
    <row r="939" spans="2:4" ht="14.25" customHeight="1" x14ac:dyDescent="0.25">
      <c r="B939" s="1"/>
      <c r="C939" s="1"/>
      <c r="D939" s="1"/>
    </row>
    <row r="940" spans="2:4" ht="14.25" customHeight="1" x14ac:dyDescent="0.25">
      <c r="B940" s="1"/>
      <c r="C940" s="1"/>
      <c r="D940" s="1"/>
    </row>
    <row r="941" spans="2:4" ht="14.25" customHeight="1" x14ac:dyDescent="0.25">
      <c r="B941" s="1"/>
      <c r="C941" s="1"/>
      <c r="D941" s="1"/>
    </row>
    <row r="942" spans="2:4" ht="14.25" customHeight="1" x14ac:dyDescent="0.25">
      <c r="B942" s="1"/>
      <c r="C942" s="1"/>
      <c r="D942" s="1"/>
    </row>
    <row r="943" spans="2:4" ht="14.25" customHeight="1" x14ac:dyDescent="0.25">
      <c r="B943" s="1"/>
      <c r="C943" s="1"/>
      <c r="D943" s="1"/>
    </row>
    <row r="944" spans="2:4" ht="14.25" customHeight="1" x14ac:dyDescent="0.25">
      <c r="B944" s="1"/>
      <c r="C944" s="1"/>
      <c r="D944" s="1"/>
    </row>
    <row r="945" spans="2:4" ht="14.25" customHeight="1" x14ac:dyDescent="0.25">
      <c r="B945" s="1"/>
      <c r="C945" s="1"/>
      <c r="D945" s="1"/>
    </row>
    <row r="946" spans="2:4" ht="14.25" customHeight="1" x14ac:dyDescent="0.25">
      <c r="B946" s="1"/>
      <c r="C946" s="1"/>
      <c r="D946" s="1"/>
    </row>
    <row r="947" spans="2:4" ht="14.25" customHeight="1" x14ac:dyDescent="0.25">
      <c r="B947" s="1"/>
      <c r="C947" s="1"/>
      <c r="D947" s="1"/>
    </row>
    <row r="948" spans="2:4" ht="14.25" customHeight="1" x14ac:dyDescent="0.25">
      <c r="B948" s="1"/>
      <c r="C948" s="1"/>
      <c r="D948" s="1"/>
    </row>
    <row r="949" spans="2:4" ht="14.25" customHeight="1" x14ac:dyDescent="0.25">
      <c r="B949" s="1"/>
      <c r="C949" s="1"/>
      <c r="D949" s="1"/>
    </row>
    <row r="950" spans="2:4" ht="14.25" customHeight="1" x14ac:dyDescent="0.25">
      <c r="B950" s="1"/>
      <c r="C950" s="1"/>
      <c r="D950" s="1"/>
    </row>
    <row r="951" spans="2:4" ht="14.25" customHeight="1" x14ac:dyDescent="0.25">
      <c r="B951" s="1"/>
      <c r="C951" s="1"/>
      <c r="D951" s="1"/>
    </row>
    <row r="952" spans="2:4" ht="14.25" customHeight="1" x14ac:dyDescent="0.25">
      <c r="B952" s="1"/>
      <c r="C952" s="1"/>
      <c r="D952" s="1"/>
    </row>
    <row r="953" spans="2:4" ht="14.25" customHeight="1" x14ac:dyDescent="0.25">
      <c r="B953" s="1"/>
      <c r="C953" s="1"/>
      <c r="D953" s="1"/>
    </row>
    <row r="954" spans="2:4" ht="14.25" customHeight="1" x14ac:dyDescent="0.25">
      <c r="B954" s="1"/>
      <c r="C954" s="1"/>
      <c r="D954" s="1"/>
    </row>
    <row r="955" spans="2:4" ht="14.25" customHeight="1" x14ac:dyDescent="0.25">
      <c r="B955" s="1"/>
      <c r="C955" s="1"/>
      <c r="D955" s="1"/>
    </row>
    <row r="956" spans="2:4" ht="14.25" customHeight="1" x14ac:dyDescent="0.25">
      <c r="B956" s="1"/>
      <c r="C956" s="1"/>
      <c r="D956" s="1"/>
    </row>
    <row r="957" spans="2:4" ht="14.25" customHeight="1" x14ac:dyDescent="0.25">
      <c r="B957" s="1"/>
      <c r="C957" s="1"/>
      <c r="D957" s="1"/>
    </row>
    <row r="958" spans="2:4" ht="14.25" customHeight="1" x14ac:dyDescent="0.25">
      <c r="B958" s="1"/>
      <c r="C958" s="1"/>
      <c r="D958" s="1"/>
    </row>
    <row r="959" spans="2:4" ht="14.25" customHeight="1" x14ac:dyDescent="0.25">
      <c r="B959" s="1"/>
      <c r="C959" s="1"/>
      <c r="D959" s="1"/>
    </row>
    <row r="960" spans="2:4" ht="14.25" customHeight="1" x14ac:dyDescent="0.25">
      <c r="B960" s="1"/>
      <c r="C960" s="1"/>
      <c r="D960" s="1"/>
    </row>
    <row r="961" spans="2:4" ht="14.25" customHeight="1" x14ac:dyDescent="0.25">
      <c r="B961" s="1"/>
      <c r="C961" s="1"/>
      <c r="D961" s="1"/>
    </row>
    <row r="962" spans="2:4" ht="14.25" customHeight="1" x14ac:dyDescent="0.25">
      <c r="B962" s="1"/>
      <c r="C962" s="1"/>
      <c r="D962" s="1"/>
    </row>
    <row r="963" spans="2:4" ht="14.25" customHeight="1" x14ac:dyDescent="0.25">
      <c r="B963" s="1"/>
      <c r="C963" s="1"/>
      <c r="D963" s="1"/>
    </row>
    <row r="964" spans="2:4" ht="14.25" customHeight="1" x14ac:dyDescent="0.25">
      <c r="B964" s="1"/>
      <c r="C964" s="1"/>
      <c r="D964" s="1"/>
    </row>
    <row r="965" spans="2:4" ht="14.25" customHeight="1" x14ac:dyDescent="0.25">
      <c r="B965" s="1"/>
      <c r="C965" s="1"/>
      <c r="D965" s="1"/>
    </row>
    <row r="966" spans="2:4" ht="14.25" customHeight="1" x14ac:dyDescent="0.25">
      <c r="B966" s="1"/>
      <c r="C966" s="1"/>
      <c r="D966" s="1"/>
    </row>
    <row r="967" spans="2:4" ht="14.25" customHeight="1" x14ac:dyDescent="0.25">
      <c r="B967" s="1"/>
      <c r="C967" s="1"/>
      <c r="D967" s="1"/>
    </row>
    <row r="968" spans="2:4" ht="14.25" customHeight="1" x14ac:dyDescent="0.25">
      <c r="B968" s="1"/>
      <c r="C968" s="1"/>
      <c r="D968" s="1"/>
    </row>
    <row r="969" spans="2:4" ht="14.25" customHeight="1" x14ac:dyDescent="0.25">
      <c r="B969" s="1"/>
      <c r="C969" s="1"/>
      <c r="D969" s="1"/>
    </row>
    <row r="970" spans="2:4" ht="14.25" customHeight="1" x14ac:dyDescent="0.25">
      <c r="B970" s="1"/>
      <c r="C970" s="1"/>
      <c r="D970" s="1"/>
    </row>
    <row r="971" spans="2:4" ht="14.25" customHeight="1" x14ac:dyDescent="0.25">
      <c r="B971" s="1"/>
      <c r="C971" s="1"/>
      <c r="D971" s="1"/>
    </row>
    <row r="972" spans="2:4" ht="14.25" customHeight="1" x14ac:dyDescent="0.25">
      <c r="B972" s="1"/>
      <c r="C972" s="1"/>
      <c r="D972" s="1"/>
    </row>
    <row r="973" spans="2:4" ht="14.25" customHeight="1" x14ac:dyDescent="0.25">
      <c r="B973" s="1"/>
      <c r="C973" s="1"/>
      <c r="D973" s="1"/>
    </row>
    <row r="974" spans="2:4" ht="14.25" customHeight="1" x14ac:dyDescent="0.25">
      <c r="B974" s="1"/>
      <c r="C974" s="1"/>
      <c r="D974" s="1"/>
    </row>
    <row r="975" spans="2:4" ht="14.25" customHeight="1" x14ac:dyDescent="0.25">
      <c r="B975" s="1"/>
      <c r="C975" s="1"/>
      <c r="D975" s="1"/>
    </row>
    <row r="976" spans="2:4" ht="14.25" customHeight="1" x14ac:dyDescent="0.25">
      <c r="B976" s="1"/>
      <c r="C976" s="1"/>
      <c r="D976" s="1"/>
    </row>
    <row r="977" spans="2:4" ht="14.25" customHeight="1" x14ac:dyDescent="0.25">
      <c r="B977" s="1"/>
      <c r="C977" s="1"/>
      <c r="D977" s="1"/>
    </row>
    <row r="978" spans="2:4" ht="14.25" customHeight="1" x14ac:dyDescent="0.25">
      <c r="B978" s="1"/>
      <c r="C978" s="1"/>
      <c r="D978" s="1"/>
    </row>
    <row r="979" spans="2:4" ht="14.25" customHeight="1" x14ac:dyDescent="0.25">
      <c r="B979" s="1"/>
      <c r="C979" s="1"/>
      <c r="D979" s="1"/>
    </row>
    <row r="980" spans="2:4" ht="14.25" customHeight="1" x14ac:dyDescent="0.25">
      <c r="B980" s="1"/>
      <c r="C980" s="1"/>
      <c r="D980" s="1"/>
    </row>
    <row r="981" spans="2:4" ht="14.25" customHeight="1" x14ac:dyDescent="0.25">
      <c r="B981" s="1"/>
      <c r="C981" s="1"/>
      <c r="D981" s="1"/>
    </row>
    <row r="982" spans="2:4" ht="14.25" customHeight="1" x14ac:dyDescent="0.25">
      <c r="B982" s="1"/>
      <c r="C982" s="1"/>
      <c r="D982" s="1"/>
    </row>
    <row r="983" spans="2:4" ht="14.25" customHeight="1" x14ac:dyDescent="0.25">
      <c r="B983" s="1"/>
      <c r="C983" s="1"/>
      <c r="D983" s="1"/>
    </row>
    <row r="984" spans="2:4" ht="14.25" customHeight="1" x14ac:dyDescent="0.25">
      <c r="B984" s="1"/>
      <c r="C984" s="1"/>
      <c r="D984" s="1"/>
    </row>
    <row r="985" spans="2:4" ht="14.25" customHeight="1" x14ac:dyDescent="0.25">
      <c r="B985" s="1"/>
      <c r="C985" s="1"/>
      <c r="D985" s="1"/>
    </row>
    <row r="986" spans="2:4" ht="14.25" customHeight="1" x14ac:dyDescent="0.25">
      <c r="B986" s="1"/>
      <c r="C986" s="1"/>
      <c r="D986" s="1"/>
    </row>
    <row r="987" spans="2:4" ht="14.25" customHeight="1" x14ac:dyDescent="0.25">
      <c r="B987" s="1"/>
      <c r="C987" s="1"/>
      <c r="D987" s="1"/>
    </row>
    <row r="988" spans="2:4" ht="14.25" customHeight="1" x14ac:dyDescent="0.25">
      <c r="B988" s="1"/>
      <c r="C988" s="1"/>
      <c r="D988" s="1"/>
    </row>
    <row r="989" spans="2:4" ht="14.25" customHeight="1" x14ac:dyDescent="0.25">
      <c r="B989" s="1"/>
      <c r="C989" s="1"/>
      <c r="D989" s="1"/>
    </row>
    <row r="990" spans="2:4" ht="14.25" customHeight="1" x14ac:dyDescent="0.25">
      <c r="B990" s="1"/>
      <c r="C990" s="1"/>
      <c r="D990" s="1"/>
    </row>
    <row r="991" spans="2:4" ht="14.25" customHeight="1" x14ac:dyDescent="0.25">
      <c r="B991" s="1"/>
      <c r="C991" s="1"/>
      <c r="D991" s="1"/>
    </row>
    <row r="992" spans="2:4" ht="14.25" customHeight="1" x14ac:dyDescent="0.25">
      <c r="B992" s="1"/>
      <c r="C992" s="1"/>
      <c r="D992" s="1"/>
    </row>
    <row r="993" spans="2:4" ht="14.25" customHeight="1" x14ac:dyDescent="0.25">
      <c r="B993" s="1"/>
      <c r="C993" s="1"/>
      <c r="D993" s="1"/>
    </row>
    <row r="994" spans="2:4" ht="14.25" customHeight="1" x14ac:dyDescent="0.25">
      <c r="B994" s="1"/>
      <c r="C994" s="1"/>
      <c r="D994" s="1"/>
    </row>
    <row r="995" spans="2:4" ht="14.25" customHeight="1" x14ac:dyDescent="0.25">
      <c r="B995" s="1"/>
      <c r="C995" s="1"/>
      <c r="D995" s="1"/>
    </row>
    <row r="996" spans="2:4" ht="14.25" customHeight="1" x14ac:dyDescent="0.25">
      <c r="B996" s="1"/>
      <c r="C996" s="1"/>
      <c r="D996" s="1"/>
    </row>
    <row r="997" spans="2:4" ht="14.25" customHeight="1" x14ac:dyDescent="0.25">
      <c r="B997" s="1"/>
      <c r="C997" s="1"/>
      <c r="D997" s="1"/>
    </row>
    <row r="998" spans="2:4" ht="14.25" customHeight="1" x14ac:dyDescent="0.25">
      <c r="B998" s="1"/>
      <c r="C998" s="1"/>
      <c r="D998" s="1"/>
    </row>
    <row r="999" spans="2:4" ht="14.25" customHeight="1" x14ac:dyDescent="0.25">
      <c r="B999" s="1"/>
      <c r="C999" s="1"/>
      <c r="D999" s="1"/>
    </row>
    <row r="1000" spans="2:4" ht="14.25" customHeight="1" x14ac:dyDescent="0.25">
      <c r="B1000" s="1"/>
      <c r="C1000" s="1"/>
      <c r="D1000" s="1"/>
    </row>
  </sheetData>
  <mergeCells count="2">
    <mergeCell ref="B2:C2"/>
    <mergeCell ref="B12:G1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4"/>
  <sheetViews>
    <sheetView zoomScale="85" zoomScaleNormal="85" workbookViewId="0">
      <selection activeCell="G18" sqref="G18"/>
    </sheetView>
  </sheetViews>
  <sheetFormatPr defaultColWidth="14.42578125" defaultRowHeight="15" customHeight="1" x14ac:dyDescent="0.25"/>
  <cols>
    <col min="1" max="1" width="8.85546875" customWidth="1"/>
    <col min="2" max="2" width="26.140625" customWidth="1"/>
    <col min="3" max="3" width="36.85546875" customWidth="1"/>
    <col min="4" max="4" width="18.7109375" customWidth="1"/>
    <col min="5" max="5" width="8.85546875" customWidth="1"/>
    <col min="6" max="6" width="14.7109375" customWidth="1"/>
    <col min="7" max="7" width="20.42578125" customWidth="1"/>
    <col min="8" max="8" width="9.140625" customWidth="1"/>
    <col min="9" max="9" width="8.85546875" customWidth="1"/>
    <col min="10" max="10" width="12.28515625" customWidth="1"/>
    <col min="11" max="11" width="17.7109375" customWidth="1"/>
    <col min="12" max="12" width="8.85546875" customWidth="1"/>
    <col min="13" max="13" width="13.42578125" customWidth="1"/>
    <col min="14" max="14" width="19.85546875" customWidth="1"/>
    <col min="15" max="15" width="18.140625" customWidth="1"/>
    <col min="16" max="16" width="13.42578125" customWidth="1"/>
    <col min="17" max="17" width="15" customWidth="1"/>
    <col min="18" max="18" width="15.42578125" customWidth="1"/>
    <col min="19" max="19" width="10" customWidth="1"/>
    <col min="20" max="27" width="8.85546875" customWidth="1"/>
  </cols>
  <sheetData>
    <row r="1" spans="1:23" ht="15" customHeight="1" x14ac:dyDescent="0.25">
      <c r="A1" s="27" t="s">
        <v>26</v>
      </c>
      <c r="B1" s="28"/>
      <c r="C1" s="28"/>
      <c r="D1" s="28"/>
      <c r="E1" s="28"/>
      <c r="F1" s="28"/>
      <c r="G1" s="29"/>
    </row>
    <row r="2" spans="1:23" ht="14.25" customHeight="1" x14ac:dyDescent="0.25">
      <c r="A2" s="52" t="s">
        <v>10</v>
      </c>
      <c r="B2" s="53"/>
      <c r="C2" s="53"/>
      <c r="D2" s="53"/>
      <c r="E2" s="53"/>
      <c r="F2" s="53"/>
      <c r="G2" s="54"/>
      <c r="O2" s="16" t="s">
        <v>22</v>
      </c>
      <c r="P2" s="17" t="s">
        <v>23</v>
      </c>
      <c r="Q2" s="18"/>
      <c r="R2" s="16" t="s">
        <v>24</v>
      </c>
      <c r="S2" s="16" t="s">
        <v>23</v>
      </c>
    </row>
    <row r="3" spans="1:23" ht="14.25" customHeight="1" x14ac:dyDescent="0.25">
      <c r="A3" s="55"/>
      <c r="B3" s="53"/>
      <c r="C3" s="53"/>
      <c r="D3" s="53"/>
      <c r="E3" s="53"/>
      <c r="F3" s="53"/>
      <c r="G3" s="54"/>
    </row>
    <row r="4" spans="1:23" ht="26.45" customHeight="1" x14ac:dyDescent="0.25">
      <c r="A4" s="55"/>
      <c r="B4" s="53"/>
      <c r="C4" s="53"/>
      <c r="D4" s="53"/>
      <c r="E4" s="53"/>
      <c r="F4" s="53"/>
      <c r="G4" s="54"/>
    </row>
    <row r="5" spans="1:23" ht="14.25" customHeight="1" x14ac:dyDescent="0.25">
      <c r="A5" s="31"/>
      <c r="B5" s="22"/>
      <c r="C5" s="22"/>
      <c r="D5" s="22"/>
      <c r="E5" s="22"/>
      <c r="F5" s="24"/>
      <c r="G5" s="30"/>
    </row>
    <row r="6" spans="1:23" ht="14.25" customHeight="1" x14ac:dyDescent="0.25">
      <c r="A6" s="31"/>
      <c r="B6" s="56" t="s">
        <v>0</v>
      </c>
      <c r="C6" s="57"/>
      <c r="D6" s="22"/>
      <c r="E6" s="22"/>
      <c r="F6" s="22"/>
      <c r="G6" s="39" t="s">
        <v>11</v>
      </c>
    </row>
    <row r="7" spans="1:23" ht="14.25" customHeight="1" x14ac:dyDescent="0.25">
      <c r="A7" s="31"/>
      <c r="B7" s="8" t="s">
        <v>1</v>
      </c>
      <c r="C7" s="37" t="s">
        <v>2</v>
      </c>
      <c r="D7" s="22"/>
      <c r="E7" s="22"/>
      <c r="F7" s="22"/>
      <c r="G7" s="40">
        <v>620</v>
      </c>
      <c r="P7" s="9"/>
      <c r="Q7" s="9"/>
      <c r="S7" s="1"/>
      <c r="T7" s="1"/>
    </row>
    <row r="8" spans="1:23" ht="14.65" customHeight="1" x14ac:dyDescent="0.25">
      <c r="A8" s="31"/>
      <c r="B8" s="36" t="s">
        <v>3</v>
      </c>
      <c r="C8" s="38" t="s">
        <v>25</v>
      </c>
      <c r="D8" s="22"/>
      <c r="E8" s="22"/>
      <c r="F8" s="22"/>
      <c r="G8" s="40">
        <v>1050</v>
      </c>
      <c r="K8" s="1" t="s">
        <v>1</v>
      </c>
      <c r="L8" s="9" t="s">
        <v>14</v>
      </c>
      <c r="M8" s="9"/>
      <c r="S8" s="1"/>
      <c r="T8" s="1"/>
    </row>
    <row r="9" spans="1:23" ht="14.25" customHeight="1" x14ac:dyDescent="0.25">
      <c r="A9" s="31"/>
      <c r="B9" s="22"/>
      <c r="C9" s="35"/>
      <c r="D9" s="22"/>
      <c r="E9" s="22"/>
      <c r="F9" s="22"/>
      <c r="G9" s="41">
        <v>1200</v>
      </c>
      <c r="J9" s="10" t="s">
        <v>15</v>
      </c>
      <c r="K9" s="11"/>
      <c r="L9" s="12"/>
      <c r="M9" s="12"/>
      <c r="S9" s="1"/>
      <c r="T9" s="1"/>
    </row>
    <row r="10" spans="1:23" ht="14.25" customHeight="1" x14ac:dyDescent="0.25">
      <c r="A10" s="31"/>
      <c r="B10" s="8" t="s">
        <v>5</v>
      </c>
      <c r="C10" s="8" t="s">
        <v>6</v>
      </c>
      <c r="D10" s="8" t="s">
        <v>7</v>
      </c>
      <c r="E10" s="22"/>
      <c r="F10" s="22"/>
      <c r="G10" s="40">
        <v>1480</v>
      </c>
      <c r="J10" s="10" t="s">
        <v>16</v>
      </c>
      <c r="K10" s="11"/>
      <c r="L10" s="12"/>
      <c r="M10" s="12"/>
      <c r="S10" s="1"/>
      <c r="T10" s="1"/>
    </row>
    <row r="11" spans="1:23" ht="14.25" customHeight="1" x14ac:dyDescent="0.25">
      <c r="A11" s="31"/>
      <c r="B11" s="6" t="s">
        <v>1</v>
      </c>
      <c r="C11" s="6">
        <v>0</v>
      </c>
      <c r="D11" s="6">
        <v>2</v>
      </c>
      <c r="E11" s="22"/>
      <c r="F11" s="22"/>
      <c r="G11" s="40">
        <v>870</v>
      </c>
      <c r="K11" s="1"/>
      <c r="L11" s="1"/>
      <c r="M11" s="1"/>
      <c r="S11" s="1"/>
      <c r="T11" s="1"/>
    </row>
    <row r="12" spans="1:23" ht="14.25" customHeight="1" thickBot="1" x14ac:dyDescent="0.3">
      <c r="A12" s="32"/>
      <c r="B12" s="33" t="s">
        <v>8</v>
      </c>
      <c r="C12" s="33">
        <v>1500</v>
      </c>
      <c r="D12" s="33">
        <v>3.5</v>
      </c>
      <c r="E12" s="34"/>
      <c r="F12" s="34"/>
      <c r="G12" s="42">
        <v>1600</v>
      </c>
      <c r="J12" s="5" t="s">
        <v>18</v>
      </c>
      <c r="K12" s="9"/>
      <c r="L12" s="9"/>
      <c r="M12" s="9"/>
      <c r="S12" s="1"/>
      <c r="T12" s="1"/>
    </row>
    <row r="13" spans="1:23" ht="14.25" customHeight="1" x14ac:dyDescent="0.25">
      <c r="A13" s="24"/>
      <c r="B13" s="22"/>
      <c r="C13" s="22"/>
      <c r="D13" s="22"/>
      <c r="E13" s="22"/>
      <c r="F13" s="25" t="s">
        <v>17</v>
      </c>
      <c r="G13" s="26"/>
      <c r="J13" s="5" t="s">
        <v>20</v>
      </c>
      <c r="K13" s="9"/>
      <c r="L13" s="9"/>
      <c r="M13" s="9"/>
      <c r="R13" s="13"/>
      <c r="S13" s="1"/>
      <c r="T13" s="1"/>
      <c r="U13" s="13"/>
      <c r="V13" s="13"/>
      <c r="W13" s="13"/>
    </row>
    <row r="14" spans="1:23" ht="14.25" customHeight="1" x14ac:dyDescent="0.25">
      <c r="B14" s="2" t="s">
        <v>27</v>
      </c>
      <c r="C14" s="1"/>
      <c r="D14" s="1"/>
      <c r="F14" s="6" t="s">
        <v>19</v>
      </c>
      <c r="G14" s="7"/>
      <c r="H14" s="1"/>
      <c r="O14" s="1"/>
      <c r="P14" s="1"/>
      <c r="Q14" s="1"/>
      <c r="R14" s="13"/>
      <c r="S14" s="14"/>
      <c r="T14" s="14"/>
      <c r="U14" s="13"/>
      <c r="V14" s="14"/>
      <c r="W14" s="14"/>
    </row>
    <row r="15" spans="1:23" ht="14.25" customHeight="1" x14ac:dyDescent="0.25">
      <c r="B15" s="1" t="s">
        <v>11</v>
      </c>
      <c r="C15" s="1" t="s">
        <v>28</v>
      </c>
      <c r="D15" s="1" t="s">
        <v>28</v>
      </c>
      <c r="E15" s="5" t="s">
        <v>12</v>
      </c>
      <c r="G15" s="1"/>
      <c r="H15" s="1"/>
      <c r="O15" s="1"/>
      <c r="P15" s="1"/>
      <c r="Q15" s="1"/>
      <c r="S15" s="1"/>
      <c r="T15" s="1"/>
    </row>
    <row r="16" spans="1:23" ht="21.75" customHeight="1" x14ac:dyDescent="0.25">
      <c r="B16" s="11" t="s">
        <v>21</v>
      </c>
      <c r="C16" s="11" t="s">
        <v>1</v>
      </c>
      <c r="D16" s="11" t="s">
        <v>3</v>
      </c>
      <c r="E16" s="5" t="s">
        <v>13</v>
      </c>
      <c r="F16" s="15"/>
      <c r="G16" s="4"/>
      <c r="H16" s="4"/>
      <c r="O16" s="19"/>
      <c r="P16" s="19"/>
      <c r="Q16" s="20"/>
      <c r="R16" s="19"/>
      <c r="S16" s="19"/>
      <c r="T16" s="1"/>
    </row>
    <row r="17" spans="1:20" ht="14.25" customHeight="1" x14ac:dyDescent="0.25">
      <c r="B17" s="1"/>
      <c r="C17" s="1"/>
      <c r="D17" s="1"/>
      <c r="G17" s="1"/>
      <c r="H17" s="1"/>
      <c r="O17" s="1"/>
      <c r="P17" s="1"/>
      <c r="Q17" s="20"/>
      <c r="S17" s="1"/>
      <c r="T17" s="1"/>
    </row>
    <row r="18" spans="1:20" ht="14.25" customHeight="1" x14ac:dyDescent="0.25">
      <c r="A18" s="21"/>
      <c r="G18" s="14"/>
      <c r="H18" s="14"/>
      <c r="O18" s="1"/>
      <c r="P18" s="1"/>
      <c r="Q18" s="1"/>
      <c r="S18" s="1"/>
      <c r="T18" s="1"/>
    </row>
    <row r="19" spans="1:20" ht="14.25" customHeight="1" x14ac:dyDescent="0.25">
      <c r="C19" s="9"/>
      <c r="D19" s="9"/>
      <c r="G19" s="1"/>
      <c r="H19" s="1"/>
      <c r="O19" s="1"/>
      <c r="P19" s="1"/>
      <c r="Q19" s="1"/>
      <c r="S19" s="1"/>
      <c r="T19" s="1"/>
    </row>
    <row r="20" spans="1:20" ht="14.25" customHeight="1" x14ac:dyDescent="0.25">
      <c r="C20" s="9"/>
      <c r="D20" s="9"/>
      <c r="G20" s="1"/>
      <c r="H20" s="1"/>
      <c r="O20" s="1"/>
      <c r="P20" s="1"/>
      <c r="Q20" s="1"/>
      <c r="S20" s="1"/>
      <c r="T20" s="1"/>
    </row>
    <row r="21" spans="1:20" ht="14.25" customHeight="1" x14ac:dyDescent="0.25">
      <c r="C21" s="9"/>
      <c r="D21" s="9"/>
      <c r="G21" s="1"/>
      <c r="H21" s="1"/>
      <c r="O21" s="1"/>
      <c r="P21" s="1"/>
      <c r="Q21" s="1"/>
      <c r="S21" s="1"/>
      <c r="T21" s="1"/>
    </row>
    <row r="22" spans="1:20" ht="14.25" customHeight="1" x14ac:dyDescent="0.25">
      <c r="C22" s="9"/>
      <c r="D22" s="9"/>
      <c r="G22" s="1"/>
      <c r="H22" s="1"/>
      <c r="O22" s="1"/>
      <c r="P22" s="1"/>
      <c r="Q22" s="1"/>
      <c r="S22" s="1"/>
      <c r="T22" s="1"/>
    </row>
    <row r="23" spans="1:20" ht="14.25" customHeight="1" x14ac:dyDescent="0.25">
      <c r="C23" s="9"/>
      <c r="D23" s="9"/>
      <c r="G23" s="1"/>
      <c r="H23" s="1"/>
      <c r="O23" s="1"/>
      <c r="P23" s="1"/>
      <c r="Q23" s="1"/>
      <c r="S23" s="1"/>
      <c r="T23" s="1"/>
    </row>
    <row r="24" spans="1:20" ht="14.25" customHeight="1" x14ac:dyDescent="0.25">
      <c r="C24" s="9"/>
      <c r="D24" s="9"/>
      <c r="G24" s="1"/>
      <c r="H24" s="1"/>
      <c r="O24" s="1"/>
      <c r="P24" s="1"/>
      <c r="Q24" s="1"/>
      <c r="S24" s="1"/>
      <c r="T24" s="1"/>
    </row>
    <row r="25" spans="1:20" ht="14.25" customHeight="1" x14ac:dyDescent="0.25">
      <c r="C25" s="9"/>
      <c r="D25" s="9"/>
      <c r="G25" s="1"/>
      <c r="H25" s="1"/>
      <c r="O25" s="1"/>
      <c r="P25" s="1"/>
      <c r="Q25" s="1"/>
      <c r="S25" s="1"/>
      <c r="T25" s="1"/>
    </row>
    <row r="26" spans="1:20" ht="14.25" customHeight="1" x14ac:dyDescent="0.25">
      <c r="C26" s="9"/>
      <c r="D26" s="9"/>
      <c r="G26" s="1"/>
      <c r="H26" s="1"/>
      <c r="O26" s="1"/>
      <c r="P26" s="1"/>
      <c r="Q26" s="1"/>
      <c r="S26" s="1"/>
      <c r="T26" s="1"/>
    </row>
    <row r="27" spans="1:20" ht="14.25" customHeight="1" x14ac:dyDescent="0.25">
      <c r="C27" s="9"/>
      <c r="D27" s="9"/>
      <c r="G27" s="1"/>
      <c r="H27" s="1"/>
      <c r="O27" s="1"/>
      <c r="P27" s="1"/>
      <c r="Q27" s="1"/>
      <c r="S27" s="1"/>
      <c r="T27" s="1"/>
    </row>
    <row r="28" spans="1:20" ht="14.25" customHeight="1" x14ac:dyDescent="0.25">
      <c r="C28" s="9"/>
      <c r="D28" s="9"/>
      <c r="G28" s="1"/>
      <c r="H28" s="1"/>
      <c r="O28" s="1"/>
      <c r="P28" s="1"/>
      <c r="Q28" s="1"/>
      <c r="S28" s="1"/>
      <c r="T28" s="1"/>
    </row>
    <row r="29" spans="1:20" ht="14.25" customHeight="1" x14ac:dyDescent="0.25">
      <c r="C29" s="9"/>
      <c r="D29" s="9"/>
      <c r="G29" s="1"/>
      <c r="H29" s="1"/>
      <c r="O29" s="1"/>
      <c r="P29" s="1"/>
      <c r="Q29" s="1"/>
      <c r="S29" s="1"/>
      <c r="T29" s="1"/>
    </row>
    <row r="30" spans="1:20" ht="14.25" customHeight="1" x14ac:dyDescent="0.25">
      <c r="C30" s="9"/>
      <c r="D30" s="9"/>
      <c r="G30" s="1"/>
      <c r="H30" s="1"/>
      <c r="O30" s="1"/>
      <c r="P30" s="1"/>
      <c r="Q30" s="1"/>
      <c r="S30" s="1"/>
      <c r="T30" s="1"/>
    </row>
    <row r="31" spans="1:20" ht="14.25" customHeight="1" x14ac:dyDescent="0.25">
      <c r="C31" s="9"/>
      <c r="D31" s="9"/>
      <c r="G31" s="1"/>
      <c r="H31" s="1"/>
      <c r="O31" s="1"/>
      <c r="P31" s="1"/>
      <c r="Q31" s="1"/>
      <c r="S31" s="1"/>
      <c r="T31" s="1"/>
    </row>
    <row r="32" spans="1:20" ht="14.25" customHeight="1" x14ac:dyDescent="0.25">
      <c r="C32" s="9"/>
      <c r="D32" s="9"/>
      <c r="G32" s="1"/>
      <c r="H32" s="1"/>
      <c r="O32" s="1"/>
      <c r="P32" s="1"/>
      <c r="Q32" s="1"/>
      <c r="S32" s="1"/>
      <c r="T32" s="1"/>
    </row>
    <row r="33" spans="3:24" ht="14.25" customHeight="1" x14ac:dyDescent="0.25">
      <c r="C33" s="9"/>
      <c r="D33" s="9"/>
      <c r="G33" s="1"/>
      <c r="H33" s="1"/>
      <c r="O33" s="1"/>
      <c r="P33" s="1"/>
      <c r="Q33" s="1"/>
      <c r="S33" s="1"/>
      <c r="T33" s="1"/>
    </row>
    <row r="34" spans="3:24" ht="14.25" customHeight="1" x14ac:dyDescent="0.25">
      <c r="C34" s="9"/>
      <c r="D34" s="9"/>
      <c r="G34" s="1"/>
      <c r="H34" s="1"/>
      <c r="O34" s="1"/>
      <c r="P34" s="1"/>
      <c r="Q34" s="1"/>
      <c r="S34" s="1"/>
      <c r="T34" s="1"/>
    </row>
    <row r="35" spans="3:24" ht="14.25" customHeight="1" x14ac:dyDescent="0.25">
      <c r="C35" s="9"/>
      <c r="D35" s="9"/>
      <c r="G35" s="1"/>
      <c r="H35" s="1"/>
      <c r="O35" s="1"/>
      <c r="P35" s="1"/>
      <c r="Q35" s="1"/>
      <c r="S35" s="1"/>
      <c r="T35" s="1"/>
    </row>
    <row r="36" spans="3:24" ht="14.25" customHeight="1" x14ac:dyDescent="0.25">
      <c r="C36" s="9"/>
      <c r="D36" s="9"/>
      <c r="G36" s="1"/>
      <c r="H36" s="1"/>
      <c r="O36" s="1"/>
      <c r="P36" s="1"/>
      <c r="Q36" s="1"/>
      <c r="S36" s="1"/>
      <c r="T36" s="1"/>
    </row>
    <row r="37" spans="3:24" ht="14.25" customHeight="1" x14ac:dyDescent="0.25">
      <c r="C37" s="9"/>
      <c r="D37" s="9"/>
      <c r="G37" s="1"/>
      <c r="H37" s="1"/>
      <c r="O37" s="1"/>
      <c r="P37" s="1"/>
      <c r="Q37" s="1"/>
      <c r="S37" s="1"/>
      <c r="T37" s="1"/>
    </row>
    <row r="38" spans="3:24" ht="14.25" customHeight="1" x14ac:dyDescent="0.25">
      <c r="C38" s="9"/>
      <c r="D38" s="9"/>
      <c r="G38" s="1"/>
      <c r="H38" s="1"/>
      <c r="O38" s="1"/>
      <c r="P38" s="1"/>
      <c r="Q38" s="1"/>
      <c r="S38" s="1"/>
      <c r="T38" s="1"/>
    </row>
    <row r="39" spans="3:24" ht="14.25" customHeight="1" x14ac:dyDescent="0.25">
      <c r="C39" s="9"/>
      <c r="D39" s="9"/>
      <c r="G39" s="1"/>
      <c r="H39" s="1"/>
      <c r="O39" s="1"/>
      <c r="P39" s="1"/>
      <c r="Q39" s="1"/>
      <c r="S39" s="1"/>
      <c r="T39" s="1"/>
    </row>
    <row r="40" spans="3:24" ht="14.25" customHeight="1" x14ac:dyDescent="0.25">
      <c r="C40" s="9"/>
      <c r="D40" s="9"/>
      <c r="G40" s="1"/>
      <c r="H40" s="1"/>
      <c r="O40" s="1"/>
      <c r="P40" s="1"/>
      <c r="Q40" s="1"/>
      <c r="S40" s="1"/>
      <c r="T40" s="1"/>
    </row>
    <row r="41" spans="3:24" ht="14.25" customHeight="1" x14ac:dyDescent="0.25">
      <c r="C41" s="9"/>
      <c r="D41" s="9"/>
      <c r="G41" s="1"/>
      <c r="H41" s="1"/>
      <c r="I41" s="13"/>
      <c r="J41" s="13"/>
      <c r="K41" s="13"/>
      <c r="L41" s="13"/>
      <c r="M41" s="13"/>
      <c r="N41" s="13"/>
      <c r="O41" s="1"/>
      <c r="P41" s="1"/>
      <c r="Q41" s="1"/>
      <c r="R41" s="13"/>
      <c r="S41" s="1"/>
      <c r="T41" s="1"/>
      <c r="U41" s="13"/>
      <c r="V41" s="13"/>
      <c r="W41" s="13"/>
      <c r="X41" s="13"/>
    </row>
    <row r="42" spans="3:24" ht="14.25" customHeight="1" x14ac:dyDescent="0.25">
      <c r="C42" s="9"/>
      <c r="D42" s="9"/>
      <c r="G42" s="1"/>
      <c r="H42" s="1"/>
      <c r="I42" s="13"/>
      <c r="J42" s="13"/>
      <c r="K42" s="13"/>
      <c r="L42" s="13"/>
      <c r="M42" s="13"/>
      <c r="N42" s="13"/>
      <c r="O42" s="1"/>
      <c r="P42" s="1"/>
      <c r="Q42" s="1"/>
      <c r="R42" s="13"/>
      <c r="S42" s="1"/>
      <c r="T42" s="1"/>
      <c r="U42" s="13"/>
      <c r="V42" s="13"/>
      <c r="W42" s="13"/>
      <c r="X42" s="13"/>
    </row>
    <row r="43" spans="3:24" ht="14.25" customHeight="1" x14ac:dyDescent="0.25">
      <c r="C43" s="9"/>
      <c r="D43" s="9"/>
      <c r="G43" s="1"/>
      <c r="H43" s="1"/>
      <c r="I43" s="13"/>
      <c r="J43" s="13"/>
      <c r="K43" s="13"/>
      <c r="L43" s="13"/>
      <c r="M43" s="13"/>
      <c r="N43" s="13"/>
      <c r="O43" s="1"/>
      <c r="P43" s="1"/>
      <c r="Q43" s="1"/>
      <c r="R43" s="13"/>
      <c r="S43" s="1"/>
      <c r="T43" s="1"/>
      <c r="U43" s="13"/>
      <c r="V43" s="13"/>
      <c r="W43" s="13"/>
      <c r="X43" s="13"/>
    </row>
    <row r="44" spans="3:24" ht="14.25" customHeight="1" x14ac:dyDescent="0.25">
      <c r="C44" s="9"/>
      <c r="D44" s="9"/>
      <c r="G44" s="1"/>
      <c r="H44" s="1"/>
      <c r="I44" s="13"/>
      <c r="J44" s="13"/>
      <c r="K44" s="13"/>
      <c r="L44" s="13"/>
      <c r="M44" s="13"/>
      <c r="N44" s="13"/>
      <c r="O44" s="1"/>
      <c r="P44" s="1"/>
      <c r="Q44" s="1"/>
      <c r="R44" s="13"/>
      <c r="S44" s="1"/>
      <c r="T44" s="1"/>
      <c r="U44" s="13"/>
      <c r="V44" s="13"/>
      <c r="W44" s="13"/>
      <c r="X44" s="13"/>
    </row>
    <row r="45" spans="3:24" ht="14.25" customHeight="1" x14ac:dyDescent="0.25">
      <c r="C45" s="9"/>
      <c r="D45" s="9"/>
      <c r="G45" s="1"/>
      <c r="H45" s="1"/>
      <c r="I45" s="13"/>
      <c r="J45" s="13"/>
      <c r="K45" s="13"/>
      <c r="L45" s="13"/>
      <c r="M45" s="13"/>
      <c r="N45" s="13"/>
      <c r="O45" s="1"/>
      <c r="P45" s="1"/>
      <c r="Q45" s="1"/>
      <c r="R45" s="13"/>
      <c r="S45" s="1"/>
      <c r="T45" s="1"/>
      <c r="U45" s="13"/>
      <c r="V45" s="13"/>
      <c r="W45" s="13"/>
      <c r="X45" s="13"/>
    </row>
    <row r="46" spans="3:24" ht="14.25" customHeight="1" x14ac:dyDescent="0.25">
      <c r="C46" s="9"/>
      <c r="D46" s="9"/>
      <c r="G46" s="1"/>
      <c r="H46" s="1"/>
      <c r="I46" s="13"/>
      <c r="J46" s="13"/>
      <c r="K46" s="13"/>
      <c r="L46" s="13"/>
      <c r="M46" s="13"/>
      <c r="N46" s="13"/>
      <c r="O46" s="1"/>
      <c r="P46" s="1"/>
      <c r="Q46" s="1"/>
      <c r="R46" s="13"/>
      <c r="S46" s="1"/>
      <c r="T46" s="1"/>
      <c r="U46" s="13"/>
      <c r="V46" s="13"/>
      <c r="W46" s="13"/>
      <c r="X46" s="13"/>
    </row>
    <row r="47" spans="3:24" ht="14.25" customHeight="1" x14ac:dyDescent="0.25">
      <c r="C47" s="9"/>
      <c r="D47" s="9"/>
      <c r="G47" s="1"/>
      <c r="H47" s="1"/>
      <c r="I47" s="13"/>
      <c r="J47" s="13"/>
      <c r="K47" s="13"/>
      <c r="L47" s="13"/>
      <c r="M47" s="13"/>
      <c r="N47" s="13"/>
      <c r="O47" s="13"/>
      <c r="P47" s="13"/>
      <c r="Q47" s="13"/>
      <c r="R47" s="13"/>
      <c r="S47" s="13"/>
      <c r="T47" s="13"/>
      <c r="U47" s="13"/>
      <c r="V47" s="13"/>
      <c r="W47" s="13"/>
      <c r="X47" s="13"/>
    </row>
    <row r="48" spans="3:24" ht="14.25" customHeight="1" x14ac:dyDescent="0.25">
      <c r="C48" s="9"/>
      <c r="D48" s="9"/>
      <c r="G48" s="1"/>
      <c r="H48" s="1"/>
      <c r="I48" s="13"/>
      <c r="J48" s="13"/>
      <c r="K48" s="13"/>
      <c r="L48" s="13"/>
      <c r="M48" s="13"/>
      <c r="N48" s="13"/>
      <c r="O48" s="13"/>
      <c r="P48" s="13"/>
      <c r="Q48" s="13"/>
      <c r="R48" s="13"/>
      <c r="S48" s="13"/>
      <c r="T48" s="13"/>
      <c r="U48" s="13"/>
      <c r="V48" s="13"/>
      <c r="W48" s="13"/>
      <c r="X48" s="13"/>
    </row>
    <row r="49" spans="3:24" ht="14.25" customHeight="1" x14ac:dyDescent="0.25">
      <c r="C49" s="9"/>
      <c r="D49" s="9"/>
      <c r="G49" s="1"/>
      <c r="H49" s="1"/>
      <c r="I49" s="13"/>
      <c r="J49" s="13"/>
      <c r="K49" s="13"/>
      <c r="L49" s="13"/>
      <c r="M49" s="13"/>
      <c r="N49" s="13"/>
      <c r="O49" s="13"/>
      <c r="P49" s="13"/>
      <c r="Q49" s="13"/>
      <c r="R49" s="13"/>
      <c r="S49" s="13"/>
      <c r="T49" s="13"/>
      <c r="U49" s="13"/>
      <c r="V49" s="13"/>
      <c r="W49" s="13"/>
      <c r="X49" s="13"/>
    </row>
    <row r="50" spans="3:24" ht="14.25" customHeight="1" x14ac:dyDescent="0.25">
      <c r="C50" s="9"/>
      <c r="D50" s="9"/>
      <c r="G50" s="1"/>
      <c r="H50" s="1"/>
      <c r="I50" s="13"/>
      <c r="J50" s="13"/>
      <c r="K50" s="13"/>
      <c r="L50" s="13"/>
      <c r="M50" s="13"/>
      <c r="N50" s="13"/>
      <c r="O50" s="13"/>
      <c r="P50" s="13"/>
      <c r="Q50" s="13"/>
      <c r="R50" s="13"/>
      <c r="S50" s="13"/>
      <c r="T50" s="13"/>
      <c r="U50" s="13"/>
      <c r="V50" s="13"/>
      <c r="W50" s="13"/>
      <c r="X50" s="13"/>
    </row>
    <row r="51" spans="3:24" ht="14.25" customHeight="1" x14ac:dyDescent="0.25">
      <c r="C51" s="9"/>
      <c r="D51" s="9"/>
      <c r="G51" s="1"/>
      <c r="H51" s="1"/>
    </row>
    <row r="52" spans="3:24" ht="14.25" customHeight="1" x14ac:dyDescent="0.25">
      <c r="C52" s="9"/>
      <c r="D52" s="9"/>
      <c r="G52" s="1"/>
      <c r="H52" s="1"/>
    </row>
    <row r="53" spans="3:24" ht="14.25" customHeight="1" x14ac:dyDescent="0.25">
      <c r="C53" s="9"/>
      <c r="D53" s="9"/>
      <c r="G53" s="1"/>
      <c r="H53" s="1"/>
    </row>
    <row r="54" spans="3:24" ht="14.25" customHeight="1" x14ac:dyDescent="0.25">
      <c r="C54" s="9"/>
      <c r="D54" s="9"/>
      <c r="G54" s="1"/>
      <c r="H54" s="1"/>
    </row>
    <row r="55" spans="3:24" ht="14.25" customHeight="1" x14ac:dyDescent="0.25">
      <c r="C55" s="9"/>
      <c r="D55" s="9"/>
      <c r="G55" s="1"/>
      <c r="H55" s="1"/>
    </row>
    <row r="56" spans="3:24" ht="14.25" customHeight="1" x14ac:dyDescent="0.25">
      <c r="C56" s="9"/>
      <c r="D56" s="9"/>
      <c r="G56" s="1"/>
      <c r="H56" s="1"/>
    </row>
    <row r="57" spans="3:24" ht="14.25" customHeight="1" x14ac:dyDescent="0.25">
      <c r="C57" s="9"/>
      <c r="D57" s="9"/>
      <c r="G57" s="1"/>
      <c r="H57" s="1"/>
    </row>
    <row r="58" spans="3:24" ht="14.25" customHeight="1" x14ac:dyDescent="0.25">
      <c r="C58" s="9"/>
      <c r="D58" s="9"/>
      <c r="G58" s="1"/>
      <c r="H58" s="1"/>
    </row>
    <row r="59" spans="3:24" ht="14.25" customHeight="1" x14ac:dyDescent="0.25">
      <c r="C59" s="9"/>
      <c r="D59" s="9"/>
      <c r="G59" s="1"/>
      <c r="H59" s="1"/>
    </row>
    <row r="60" spans="3:24" ht="14.25" customHeight="1" x14ac:dyDescent="0.25">
      <c r="C60" s="9"/>
      <c r="D60" s="9"/>
      <c r="G60" s="1"/>
      <c r="H60" s="1"/>
    </row>
    <row r="61" spans="3:24" ht="14.25" customHeight="1" x14ac:dyDescent="0.25">
      <c r="C61" s="9"/>
      <c r="D61" s="9"/>
      <c r="G61" s="1"/>
      <c r="H61" s="1"/>
    </row>
    <row r="62" spans="3:24" ht="14.25" customHeight="1" x14ac:dyDescent="0.25">
      <c r="C62" s="9"/>
      <c r="D62" s="9"/>
      <c r="G62" s="1"/>
      <c r="H62" s="1"/>
    </row>
    <row r="63" spans="3:24" ht="14.25" customHeight="1" x14ac:dyDescent="0.25">
      <c r="C63" s="9"/>
      <c r="D63" s="9"/>
      <c r="G63" s="1"/>
      <c r="H63" s="1"/>
    </row>
    <row r="64" spans="3:24" ht="14.25" customHeight="1" x14ac:dyDescent="0.25">
      <c r="C64" s="9"/>
      <c r="D64" s="9"/>
      <c r="G64" s="1"/>
      <c r="H64" s="1"/>
    </row>
    <row r="65" spans="3:8" ht="14.25" customHeight="1" x14ac:dyDescent="0.25">
      <c r="C65" s="9"/>
      <c r="D65" s="9"/>
      <c r="G65" s="1"/>
      <c r="H65" s="1"/>
    </row>
    <row r="66" spans="3:8" ht="14.25" customHeight="1" x14ac:dyDescent="0.25">
      <c r="C66" s="9"/>
      <c r="D66" s="9"/>
      <c r="G66" s="1"/>
      <c r="H66" s="1"/>
    </row>
    <row r="67" spans="3:8" ht="14.25" customHeight="1" x14ac:dyDescent="0.25">
      <c r="C67" s="9"/>
      <c r="D67" s="9"/>
      <c r="G67" s="1"/>
      <c r="H67" s="1"/>
    </row>
    <row r="68" spans="3:8" ht="14.25" customHeight="1" x14ac:dyDescent="0.25">
      <c r="C68" s="9"/>
      <c r="D68" s="9"/>
      <c r="G68" s="1"/>
      <c r="H68" s="1"/>
    </row>
    <row r="69" spans="3:8" ht="14.25" customHeight="1" x14ac:dyDescent="0.25">
      <c r="C69" s="9"/>
      <c r="D69" s="9"/>
      <c r="G69" s="1"/>
      <c r="H69" s="1"/>
    </row>
    <row r="70" spans="3:8" ht="14.25" customHeight="1" x14ac:dyDescent="0.25">
      <c r="C70" s="9"/>
      <c r="D70" s="9"/>
      <c r="G70" s="1"/>
      <c r="H70" s="1"/>
    </row>
    <row r="71" spans="3:8" ht="14.25" customHeight="1" x14ac:dyDescent="0.25">
      <c r="C71" s="9"/>
      <c r="D71" s="9"/>
      <c r="G71" s="1"/>
      <c r="H71" s="1"/>
    </row>
    <row r="72" spans="3:8" ht="14.25" customHeight="1" x14ac:dyDescent="0.25">
      <c r="C72" s="9"/>
      <c r="D72" s="9"/>
      <c r="G72" s="1"/>
      <c r="H72" s="1"/>
    </row>
    <row r="73" spans="3:8" ht="14.25" customHeight="1" x14ac:dyDescent="0.25">
      <c r="C73" s="9"/>
      <c r="D73" s="9"/>
      <c r="G73" s="1"/>
      <c r="H73" s="1"/>
    </row>
    <row r="74" spans="3:8" ht="14.25" customHeight="1" x14ac:dyDescent="0.25">
      <c r="C74" s="9"/>
      <c r="D74" s="9"/>
      <c r="G74" s="1"/>
      <c r="H74" s="1"/>
    </row>
    <row r="75" spans="3:8" ht="14.25" customHeight="1" x14ac:dyDescent="0.25">
      <c r="C75" s="9"/>
      <c r="D75" s="9"/>
      <c r="G75" s="1"/>
      <c r="H75" s="1"/>
    </row>
    <row r="76" spans="3:8" ht="14.25" customHeight="1" x14ac:dyDescent="0.25">
      <c r="C76" s="9"/>
      <c r="D76" s="9"/>
      <c r="G76" s="1"/>
      <c r="H76" s="1"/>
    </row>
    <row r="77" spans="3:8" ht="14.25" customHeight="1" x14ac:dyDescent="0.25">
      <c r="C77" s="9"/>
      <c r="D77" s="9"/>
      <c r="G77" s="1"/>
      <c r="H77" s="1"/>
    </row>
    <row r="78" spans="3:8" ht="14.25" customHeight="1" x14ac:dyDescent="0.25">
      <c r="C78" s="9"/>
      <c r="D78" s="9"/>
      <c r="G78" s="1"/>
      <c r="H78" s="1"/>
    </row>
    <row r="79" spans="3:8" ht="14.25" customHeight="1" x14ac:dyDescent="0.25">
      <c r="C79" s="9"/>
      <c r="D79" s="9"/>
      <c r="G79" s="1"/>
      <c r="H79" s="1"/>
    </row>
    <row r="80" spans="3:8" ht="14.25" customHeight="1" x14ac:dyDescent="0.25">
      <c r="C80" s="9"/>
      <c r="D80" s="9"/>
      <c r="G80" s="1"/>
      <c r="H80" s="1"/>
    </row>
    <row r="81" spans="3:8" ht="14.25" customHeight="1" x14ac:dyDescent="0.25">
      <c r="C81" s="9"/>
      <c r="D81" s="9"/>
      <c r="G81" s="1"/>
      <c r="H81" s="1"/>
    </row>
    <row r="82" spans="3:8" ht="14.25" customHeight="1" x14ac:dyDescent="0.25">
      <c r="C82" s="9"/>
      <c r="D82" s="9"/>
      <c r="G82" s="1"/>
      <c r="H82" s="1"/>
    </row>
    <row r="83" spans="3:8" ht="14.25" customHeight="1" x14ac:dyDescent="0.25">
      <c r="C83" s="9"/>
      <c r="D83" s="9"/>
      <c r="G83" s="1"/>
      <c r="H83" s="1"/>
    </row>
    <row r="84" spans="3:8" ht="14.25" customHeight="1" x14ac:dyDescent="0.25">
      <c r="C84" s="9"/>
      <c r="D84" s="9"/>
      <c r="G84" s="1"/>
      <c r="H84" s="1"/>
    </row>
    <row r="85" spans="3:8" ht="14.25" customHeight="1" x14ac:dyDescent="0.25">
      <c r="C85" s="9"/>
      <c r="D85" s="9"/>
      <c r="G85" s="1"/>
      <c r="H85" s="1"/>
    </row>
    <row r="86" spans="3:8" ht="14.25" customHeight="1" x14ac:dyDescent="0.25">
      <c r="C86" s="9"/>
      <c r="D86" s="9"/>
      <c r="G86" s="1"/>
      <c r="H86" s="1"/>
    </row>
    <row r="87" spans="3:8" ht="14.25" customHeight="1" x14ac:dyDescent="0.25">
      <c r="C87" s="9"/>
      <c r="D87" s="9"/>
      <c r="G87" s="1"/>
      <c r="H87" s="1"/>
    </row>
    <row r="88" spans="3:8" ht="14.25" customHeight="1" x14ac:dyDescent="0.25">
      <c r="C88" s="9"/>
      <c r="D88" s="9"/>
      <c r="G88" s="1"/>
      <c r="H88" s="1"/>
    </row>
    <row r="89" spans="3:8" ht="14.25" customHeight="1" x14ac:dyDescent="0.25">
      <c r="C89" s="9"/>
      <c r="D89" s="9"/>
      <c r="G89" s="1"/>
      <c r="H89" s="1"/>
    </row>
    <row r="90" spans="3:8" ht="14.25" customHeight="1" x14ac:dyDescent="0.25">
      <c r="C90" s="9"/>
      <c r="D90" s="9"/>
      <c r="G90" s="1"/>
      <c r="H90" s="1"/>
    </row>
    <row r="91" spans="3:8" ht="14.25" customHeight="1" x14ac:dyDescent="0.25">
      <c r="C91" s="9"/>
      <c r="D91" s="9"/>
      <c r="G91" s="1"/>
      <c r="H91" s="1"/>
    </row>
    <row r="92" spans="3:8" ht="14.25" customHeight="1" x14ac:dyDescent="0.25">
      <c r="C92" s="9"/>
      <c r="D92" s="9"/>
      <c r="G92" s="1"/>
      <c r="H92" s="1"/>
    </row>
    <row r="93" spans="3:8" ht="14.25" customHeight="1" x14ac:dyDescent="0.25">
      <c r="C93" s="9"/>
      <c r="D93" s="9"/>
      <c r="G93" s="1"/>
      <c r="H93" s="1"/>
    </row>
    <row r="94" spans="3:8" ht="14.25" customHeight="1" x14ac:dyDescent="0.25">
      <c r="C94" s="9"/>
      <c r="D94" s="9"/>
      <c r="G94" s="1"/>
      <c r="H94" s="1"/>
    </row>
    <row r="95" spans="3:8" ht="14.25" customHeight="1" x14ac:dyDescent="0.25">
      <c r="C95" s="9"/>
      <c r="D95" s="9"/>
      <c r="G95" s="1"/>
      <c r="H95" s="1"/>
    </row>
    <row r="96" spans="3:8" ht="14.25" customHeight="1" x14ac:dyDescent="0.25">
      <c r="C96" s="9"/>
      <c r="D96" s="9"/>
      <c r="G96" s="1"/>
      <c r="H96" s="1"/>
    </row>
    <row r="97" spans="3:8" ht="14.25" customHeight="1" x14ac:dyDescent="0.25">
      <c r="C97" s="9"/>
      <c r="D97" s="9"/>
      <c r="G97" s="1"/>
      <c r="H97" s="1"/>
    </row>
    <row r="98" spans="3:8" ht="14.25" customHeight="1" x14ac:dyDescent="0.25">
      <c r="C98" s="9"/>
      <c r="D98" s="9"/>
      <c r="G98" s="1"/>
      <c r="H98" s="1"/>
    </row>
    <row r="99" spans="3:8" ht="14.25" customHeight="1" x14ac:dyDescent="0.25">
      <c r="C99" s="9"/>
      <c r="D99" s="9"/>
      <c r="G99" s="1"/>
      <c r="H99" s="1"/>
    </row>
    <row r="100" spans="3:8" ht="14.25" customHeight="1" x14ac:dyDescent="0.25">
      <c r="C100" s="9"/>
      <c r="D100" s="9"/>
      <c r="G100" s="1"/>
      <c r="H100" s="1"/>
    </row>
    <row r="101" spans="3:8" ht="14.25" customHeight="1" x14ac:dyDescent="0.25">
      <c r="C101" s="9"/>
      <c r="D101" s="9"/>
      <c r="G101" s="1"/>
      <c r="H101" s="1"/>
    </row>
    <row r="102" spans="3:8" ht="14.25" customHeight="1" x14ac:dyDescent="0.25">
      <c r="C102" s="9"/>
      <c r="D102" s="9"/>
      <c r="G102" s="1"/>
      <c r="H102" s="1"/>
    </row>
    <row r="103" spans="3:8" ht="14.25" customHeight="1" x14ac:dyDescent="0.25">
      <c r="C103" s="9"/>
      <c r="D103" s="9"/>
      <c r="G103" s="1"/>
      <c r="H103" s="1"/>
    </row>
    <row r="104" spans="3:8" ht="14.25" customHeight="1" x14ac:dyDescent="0.25">
      <c r="C104" s="9"/>
      <c r="D104" s="9"/>
      <c r="G104" s="1"/>
      <c r="H104" s="1"/>
    </row>
    <row r="105" spans="3:8" ht="14.25" customHeight="1" x14ac:dyDescent="0.25">
      <c r="C105" s="9"/>
      <c r="D105" s="9"/>
      <c r="G105" s="1"/>
      <c r="H105" s="1"/>
    </row>
    <row r="106" spans="3:8" ht="14.25" customHeight="1" x14ac:dyDescent="0.25">
      <c r="C106" s="9"/>
      <c r="D106" s="9"/>
      <c r="G106" s="1"/>
      <c r="H106" s="1"/>
    </row>
    <row r="107" spans="3:8" ht="14.25" customHeight="1" x14ac:dyDescent="0.25">
      <c r="C107" s="9"/>
      <c r="D107" s="9"/>
      <c r="G107" s="1"/>
      <c r="H107" s="1"/>
    </row>
    <row r="108" spans="3:8" ht="14.25" customHeight="1" x14ac:dyDescent="0.25">
      <c r="C108" s="9"/>
      <c r="D108" s="9"/>
      <c r="G108" s="1"/>
      <c r="H108" s="1"/>
    </row>
    <row r="109" spans="3:8" ht="14.25" customHeight="1" x14ac:dyDescent="0.25">
      <c r="C109" s="9"/>
      <c r="D109" s="9"/>
      <c r="G109" s="1"/>
      <c r="H109" s="1"/>
    </row>
    <row r="110" spans="3:8" ht="14.25" customHeight="1" x14ac:dyDescent="0.25">
      <c r="C110" s="9"/>
      <c r="D110" s="9"/>
      <c r="G110" s="1"/>
      <c r="H110" s="1"/>
    </row>
    <row r="111" spans="3:8" ht="14.25" customHeight="1" x14ac:dyDescent="0.25">
      <c r="C111" s="9"/>
      <c r="D111" s="9"/>
      <c r="G111" s="1"/>
      <c r="H111" s="1"/>
    </row>
    <row r="112" spans="3:8" ht="14.25" customHeight="1" x14ac:dyDescent="0.25">
      <c r="C112" s="9"/>
      <c r="D112" s="9"/>
      <c r="G112" s="1"/>
      <c r="H112" s="1"/>
    </row>
    <row r="113" spans="3:8" ht="14.25" customHeight="1" x14ac:dyDescent="0.25">
      <c r="C113" s="9"/>
      <c r="D113" s="9"/>
      <c r="G113" s="1"/>
      <c r="H113" s="1"/>
    </row>
    <row r="114" spans="3:8" ht="14.25" customHeight="1" x14ac:dyDescent="0.25">
      <c r="C114" s="9"/>
      <c r="D114" s="9"/>
      <c r="G114" s="1"/>
      <c r="H114" s="1"/>
    </row>
    <row r="115" spans="3:8" ht="14.25" customHeight="1" x14ac:dyDescent="0.25">
      <c r="C115" s="9"/>
      <c r="D115" s="9"/>
      <c r="G115" s="1"/>
      <c r="H115" s="1"/>
    </row>
    <row r="116" spans="3:8" ht="14.25" customHeight="1" x14ac:dyDescent="0.25">
      <c r="C116" s="9"/>
      <c r="D116" s="9"/>
      <c r="G116" s="1"/>
      <c r="H116" s="1"/>
    </row>
    <row r="117" spans="3:8" ht="14.25" customHeight="1" x14ac:dyDescent="0.25">
      <c r="C117" s="9"/>
      <c r="D117" s="9"/>
      <c r="G117" s="1"/>
      <c r="H117" s="1"/>
    </row>
    <row r="118" spans="3:8" ht="14.25" customHeight="1" x14ac:dyDescent="0.25">
      <c r="C118" s="9"/>
      <c r="D118" s="9"/>
      <c r="G118" s="1"/>
      <c r="H118" s="1"/>
    </row>
    <row r="119" spans="3:8" ht="14.25" customHeight="1" x14ac:dyDescent="0.25">
      <c r="C119" s="9"/>
      <c r="D119" s="9"/>
      <c r="G119" s="1"/>
      <c r="H119" s="1"/>
    </row>
    <row r="120" spans="3:8" ht="14.25" customHeight="1" x14ac:dyDescent="0.25">
      <c r="C120" s="9"/>
      <c r="D120" s="9"/>
      <c r="G120" s="1"/>
      <c r="H120" s="1"/>
    </row>
    <row r="121" spans="3:8" ht="14.25" customHeight="1" x14ac:dyDescent="0.25">
      <c r="C121" s="9"/>
      <c r="D121" s="9"/>
      <c r="G121" s="1"/>
      <c r="H121" s="1"/>
    </row>
    <row r="122" spans="3:8" ht="14.25" customHeight="1" x14ac:dyDescent="0.25">
      <c r="C122" s="9"/>
      <c r="D122" s="9"/>
      <c r="G122" s="1"/>
      <c r="H122" s="1"/>
    </row>
    <row r="123" spans="3:8" ht="14.25" customHeight="1" x14ac:dyDescent="0.25">
      <c r="C123" s="9"/>
      <c r="D123" s="9"/>
      <c r="G123" s="1"/>
      <c r="H123" s="1"/>
    </row>
    <row r="124" spans="3:8" ht="14.25" customHeight="1" x14ac:dyDescent="0.25">
      <c r="C124" s="9"/>
      <c r="D124" s="9"/>
      <c r="G124" s="1"/>
      <c r="H124" s="1"/>
    </row>
    <row r="125" spans="3:8" ht="14.25" customHeight="1" x14ac:dyDescent="0.25">
      <c r="C125" s="9"/>
      <c r="D125" s="9"/>
      <c r="G125" s="1"/>
      <c r="H125" s="1"/>
    </row>
    <row r="126" spans="3:8" ht="14.25" customHeight="1" x14ac:dyDescent="0.25">
      <c r="C126" s="9"/>
      <c r="D126" s="9"/>
      <c r="G126" s="1"/>
      <c r="H126" s="1"/>
    </row>
    <row r="127" spans="3:8" ht="14.25" customHeight="1" x14ac:dyDescent="0.25">
      <c r="C127" s="9"/>
      <c r="D127" s="9"/>
      <c r="G127" s="1"/>
      <c r="H127" s="1"/>
    </row>
    <row r="128" spans="3:8" ht="14.25" customHeight="1" x14ac:dyDescent="0.25">
      <c r="C128" s="9"/>
      <c r="D128" s="9"/>
      <c r="G128" s="1"/>
      <c r="H128" s="1"/>
    </row>
    <row r="129" spans="3:8" ht="14.25" customHeight="1" x14ac:dyDescent="0.25">
      <c r="C129" s="9"/>
      <c r="D129" s="9"/>
      <c r="G129" s="1"/>
      <c r="H129" s="1"/>
    </row>
    <row r="130" spans="3:8" ht="14.25" customHeight="1" x14ac:dyDescent="0.25">
      <c r="C130" s="9"/>
      <c r="D130" s="9"/>
      <c r="G130" s="1"/>
      <c r="H130" s="1"/>
    </row>
    <row r="131" spans="3:8" ht="14.25" customHeight="1" x14ac:dyDescent="0.25">
      <c r="C131" s="9"/>
      <c r="D131" s="9"/>
      <c r="G131" s="1"/>
      <c r="H131" s="1"/>
    </row>
    <row r="132" spans="3:8" ht="14.25" customHeight="1" x14ac:dyDescent="0.25">
      <c r="C132" s="9"/>
      <c r="D132" s="9"/>
      <c r="G132" s="1"/>
      <c r="H132" s="1"/>
    </row>
    <row r="133" spans="3:8" ht="14.25" customHeight="1" x14ac:dyDescent="0.25">
      <c r="C133" s="9"/>
      <c r="D133" s="9"/>
      <c r="G133" s="1"/>
      <c r="H133" s="1"/>
    </row>
    <row r="134" spans="3:8" ht="14.25" customHeight="1" x14ac:dyDescent="0.25">
      <c r="C134" s="9"/>
      <c r="D134" s="9"/>
      <c r="G134" s="1"/>
      <c r="H134" s="1"/>
    </row>
    <row r="135" spans="3:8" ht="14.25" customHeight="1" x14ac:dyDescent="0.25">
      <c r="C135" s="9"/>
      <c r="D135" s="9"/>
      <c r="G135" s="1"/>
      <c r="H135" s="1"/>
    </row>
    <row r="136" spans="3:8" ht="14.25" customHeight="1" x14ac:dyDescent="0.25">
      <c r="C136" s="9"/>
      <c r="D136" s="9"/>
      <c r="G136" s="1"/>
      <c r="H136" s="1"/>
    </row>
    <row r="137" spans="3:8" ht="14.25" customHeight="1" x14ac:dyDescent="0.25">
      <c r="C137" s="9"/>
      <c r="D137" s="9"/>
      <c r="G137" s="1"/>
      <c r="H137" s="1"/>
    </row>
    <row r="138" spans="3:8" ht="14.25" customHeight="1" x14ac:dyDescent="0.25">
      <c r="C138" s="9"/>
      <c r="D138" s="9"/>
      <c r="G138" s="1"/>
      <c r="H138" s="1"/>
    </row>
    <row r="139" spans="3:8" ht="14.25" customHeight="1" x14ac:dyDescent="0.25">
      <c r="C139" s="9"/>
      <c r="D139" s="9"/>
      <c r="G139" s="1"/>
      <c r="H139" s="1"/>
    </row>
    <row r="140" spans="3:8" ht="14.25" customHeight="1" x14ac:dyDescent="0.25">
      <c r="C140" s="9"/>
      <c r="D140" s="9"/>
      <c r="G140" s="1"/>
      <c r="H140" s="1"/>
    </row>
    <row r="141" spans="3:8" ht="14.25" customHeight="1" x14ac:dyDescent="0.25">
      <c r="C141" s="9"/>
      <c r="D141" s="9"/>
      <c r="G141" s="1"/>
      <c r="H141" s="1"/>
    </row>
    <row r="142" spans="3:8" ht="14.25" customHeight="1" x14ac:dyDescent="0.25">
      <c r="C142" s="9"/>
      <c r="D142" s="9"/>
      <c r="G142" s="1"/>
      <c r="H142" s="1"/>
    </row>
    <row r="143" spans="3:8" ht="14.25" customHeight="1" x14ac:dyDescent="0.25">
      <c r="C143" s="9"/>
      <c r="D143" s="9"/>
      <c r="G143" s="1"/>
      <c r="H143" s="1"/>
    </row>
    <row r="144" spans="3:8" ht="14.25" customHeight="1" x14ac:dyDescent="0.25">
      <c r="C144" s="9"/>
      <c r="D144" s="9"/>
      <c r="G144" s="1"/>
      <c r="H144" s="1"/>
    </row>
    <row r="145" spans="3:8" ht="14.25" customHeight="1" x14ac:dyDescent="0.25">
      <c r="C145" s="9"/>
      <c r="D145" s="9"/>
      <c r="G145" s="1"/>
      <c r="H145" s="1"/>
    </row>
    <row r="146" spans="3:8" ht="14.25" customHeight="1" x14ac:dyDescent="0.25">
      <c r="C146" s="9"/>
      <c r="D146" s="9"/>
      <c r="G146" s="1"/>
      <c r="H146" s="1"/>
    </row>
    <row r="147" spans="3:8" ht="14.25" customHeight="1" x14ac:dyDescent="0.25">
      <c r="C147" s="9"/>
      <c r="D147" s="9"/>
      <c r="G147" s="1"/>
      <c r="H147" s="1"/>
    </row>
    <row r="148" spans="3:8" ht="14.25" customHeight="1" x14ac:dyDescent="0.25">
      <c r="C148" s="9"/>
      <c r="D148" s="9"/>
      <c r="G148" s="1"/>
      <c r="H148" s="1"/>
    </row>
    <row r="149" spans="3:8" ht="14.25" customHeight="1" x14ac:dyDescent="0.25">
      <c r="C149" s="9"/>
      <c r="D149" s="9"/>
      <c r="G149" s="1"/>
      <c r="H149" s="1"/>
    </row>
    <row r="150" spans="3:8" ht="14.25" customHeight="1" x14ac:dyDescent="0.25">
      <c r="C150" s="9"/>
      <c r="D150" s="9"/>
      <c r="G150" s="1"/>
      <c r="H150" s="1"/>
    </row>
    <row r="151" spans="3:8" ht="14.25" customHeight="1" x14ac:dyDescent="0.25">
      <c r="C151" s="9"/>
      <c r="D151" s="9"/>
      <c r="G151" s="1"/>
      <c r="H151" s="1"/>
    </row>
    <row r="152" spans="3:8" ht="14.25" customHeight="1" x14ac:dyDescent="0.25">
      <c r="C152" s="9"/>
      <c r="D152" s="9"/>
      <c r="G152" s="1"/>
      <c r="H152" s="1"/>
    </row>
    <row r="153" spans="3:8" ht="14.25" customHeight="1" x14ac:dyDescent="0.25">
      <c r="C153" s="9"/>
      <c r="D153" s="9"/>
      <c r="G153" s="1"/>
      <c r="H153" s="1"/>
    </row>
    <row r="154" spans="3:8" ht="14.25" customHeight="1" x14ac:dyDescent="0.25">
      <c r="C154" s="9"/>
      <c r="D154" s="9"/>
      <c r="G154" s="1"/>
      <c r="H154" s="1"/>
    </row>
    <row r="155" spans="3:8" ht="14.25" customHeight="1" x14ac:dyDescent="0.25">
      <c r="C155" s="9"/>
      <c r="D155" s="9"/>
      <c r="G155" s="1"/>
      <c r="H155" s="1"/>
    </row>
    <row r="156" spans="3:8" ht="14.25" customHeight="1" x14ac:dyDescent="0.25">
      <c r="C156" s="9"/>
      <c r="D156" s="9"/>
      <c r="G156" s="1"/>
      <c r="H156" s="1"/>
    </row>
    <row r="157" spans="3:8" ht="14.25" customHeight="1" x14ac:dyDescent="0.25">
      <c r="C157" s="9"/>
      <c r="D157" s="9"/>
      <c r="G157" s="1"/>
      <c r="H157" s="1"/>
    </row>
    <row r="158" spans="3:8" ht="14.25" customHeight="1" x14ac:dyDescent="0.25">
      <c r="C158" s="9"/>
      <c r="D158" s="9"/>
      <c r="G158" s="1"/>
      <c r="H158" s="1"/>
    </row>
    <row r="159" spans="3:8" ht="14.25" customHeight="1" x14ac:dyDescent="0.25">
      <c r="C159" s="9"/>
      <c r="D159" s="9"/>
      <c r="G159" s="1"/>
      <c r="H159" s="1"/>
    </row>
    <row r="160" spans="3:8" ht="14.25" customHeight="1" x14ac:dyDescent="0.25">
      <c r="C160" s="9"/>
      <c r="D160" s="9"/>
      <c r="G160" s="1"/>
      <c r="H160" s="1"/>
    </row>
    <row r="161" spans="3:8" ht="14.25" customHeight="1" x14ac:dyDescent="0.25">
      <c r="C161" s="9"/>
      <c r="D161" s="9"/>
      <c r="G161" s="1"/>
      <c r="H161" s="1"/>
    </row>
    <row r="162" spans="3:8" ht="14.25" customHeight="1" x14ac:dyDescent="0.25">
      <c r="C162" s="9"/>
      <c r="D162" s="9"/>
      <c r="G162" s="1"/>
      <c r="H162" s="1"/>
    </row>
    <row r="163" spans="3:8" ht="14.25" customHeight="1" x14ac:dyDescent="0.25">
      <c r="C163" s="9"/>
      <c r="D163" s="9"/>
      <c r="G163" s="1"/>
      <c r="H163" s="1"/>
    </row>
    <row r="164" spans="3:8" ht="14.25" customHeight="1" x14ac:dyDescent="0.25">
      <c r="C164" s="9"/>
      <c r="D164" s="9"/>
      <c r="G164" s="1"/>
      <c r="H164" s="1"/>
    </row>
    <row r="165" spans="3:8" ht="14.25" customHeight="1" x14ac:dyDescent="0.25">
      <c r="C165" s="9"/>
      <c r="D165" s="9"/>
      <c r="G165" s="1"/>
      <c r="H165" s="1"/>
    </row>
    <row r="166" spans="3:8" ht="14.25" customHeight="1" x14ac:dyDescent="0.25">
      <c r="C166" s="9"/>
      <c r="D166" s="9"/>
      <c r="G166" s="1"/>
      <c r="H166" s="1"/>
    </row>
    <row r="167" spans="3:8" ht="14.25" customHeight="1" x14ac:dyDescent="0.25">
      <c r="C167" s="9"/>
      <c r="D167" s="9"/>
      <c r="G167" s="1"/>
      <c r="H167" s="1"/>
    </row>
    <row r="168" spans="3:8" ht="14.25" customHeight="1" x14ac:dyDescent="0.25">
      <c r="C168" s="9"/>
      <c r="D168" s="9"/>
      <c r="G168" s="1"/>
      <c r="H168" s="1"/>
    </row>
    <row r="169" spans="3:8" ht="14.25" customHeight="1" x14ac:dyDescent="0.25">
      <c r="C169" s="9"/>
      <c r="D169" s="9"/>
      <c r="G169" s="1"/>
      <c r="H169" s="1"/>
    </row>
    <row r="170" spans="3:8" ht="14.25" customHeight="1" x14ac:dyDescent="0.25">
      <c r="C170" s="9"/>
      <c r="D170" s="9"/>
      <c r="G170" s="1"/>
      <c r="H170" s="1"/>
    </row>
    <row r="171" spans="3:8" ht="14.25" customHeight="1" x14ac:dyDescent="0.25">
      <c r="C171" s="9"/>
      <c r="D171" s="9"/>
      <c r="G171" s="1"/>
      <c r="H171" s="1"/>
    </row>
    <row r="172" spans="3:8" ht="14.25" customHeight="1" x14ac:dyDescent="0.25">
      <c r="C172" s="9"/>
      <c r="D172" s="9"/>
      <c r="G172" s="1"/>
      <c r="H172" s="1"/>
    </row>
    <row r="173" spans="3:8" ht="14.25" customHeight="1" x14ac:dyDescent="0.25">
      <c r="C173" s="9"/>
      <c r="D173" s="9"/>
      <c r="G173" s="1"/>
      <c r="H173" s="1"/>
    </row>
    <row r="174" spans="3:8" ht="14.25" customHeight="1" x14ac:dyDescent="0.25">
      <c r="C174" s="9"/>
      <c r="D174" s="9"/>
      <c r="G174" s="1"/>
      <c r="H174" s="1"/>
    </row>
    <row r="175" spans="3:8" ht="14.25" customHeight="1" x14ac:dyDescent="0.25">
      <c r="C175" s="9"/>
      <c r="D175" s="9"/>
      <c r="G175" s="1"/>
      <c r="H175" s="1"/>
    </row>
    <row r="176" spans="3:8" ht="14.25" customHeight="1" x14ac:dyDescent="0.25">
      <c r="C176" s="9"/>
      <c r="D176" s="9"/>
      <c r="G176" s="1"/>
      <c r="H176" s="1"/>
    </row>
    <row r="177" spans="3:8" ht="14.25" customHeight="1" x14ac:dyDescent="0.25">
      <c r="C177" s="9"/>
      <c r="D177" s="9"/>
      <c r="G177" s="1"/>
      <c r="H177" s="1"/>
    </row>
    <row r="178" spans="3:8" ht="14.25" customHeight="1" x14ac:dyDescent="0.25">
      <c r="C178" s="9"/>
      <c r="D178" s="9"/>
      <c r="G178" s="1"/>
      <c r="H178" s="1"/>
    </row>
    <row r="179" spans="3:8" ht="14.25" customHeight="1" x14ac:dyDescent="0.25">
      <c r="C179" s="9"/>
      <c r="D179" s="9"/>
      <c r="G179" s="1"/>
      <c r="H179" s="1"/>
    </row>
    <row r="180" spans="3:8" ht="14.25" customHeight="1" x14ac:dyDescent="0.25">
      <c r="C180" s="9"/>
      <c r="D180" s="9"/>
      <c r="G180" s="1"/>
      <c r="H180" s="1"/>
    </row>
    <row r="181" spans="3:8" ht="14.25" customHeight="1" x14ac:dyDescent="0.25">
      <c r="C181" s="9"/>
      <c r="D181" s="9"/>
      <c r="G181" s="1"/>
      <c r="H181" s="1"/>
    </row>
    <row r="182" spans="3:8" ht="14.25" customHeight="1" x14ac:dyDescent="0.25">
      <c r="C182" s="9"/>
      <c r="D182" s="9"/>
      <c r="G182" s="1"/>
      <c r="H182" s="1"/>
    </row>
    <row r="183" spans="3:8" ht="14.25" customHeight="1" x14ac:dyDescent="0.25">
      <c r="C183" s="9"/>
      <c r="D183" s="9"/>
      <c r="G183" s="1"/>
      <c r="H183" s="1"/>
    </row>
    <row r="184" spans="3:8" ht="14.25" customHeight="1" x14ac:dyDescent="0.25">
      <c r="C184" s="9"/>
      <c r="D184" s="9"/>
      <c r="G184" s="1"/>
      <c r="H184" s="1"/>
    </row>
    <row r="185" spans="3:8" ht="14.25" customHeight="1" x14ac:dyDescent="0.25">
      <c r="C185" s="9"/>
      <c r="D185" s="9"/>
      <c r="G185" s="1"/>
      <c r="H185" s="1"/>
    </row>
    <row r="186" spans="3:8" ht="14.25" customHeight="1" x14ac:dyDescent="0.25">
      <c r="C186" s="9"/>
      <c r="D186" s="9"/>
      <c r="G186" s="1"/>
      <c r="H186" s="1"/>
    </row>
    <row r="187" spans="3:8" ht="14.25" customHeight="1" x14ac:dyDescent="0.25">
      <c r="C187" s="9"/>
      <c r="D187" s="9"/>
      <c r="G187" s="1"/>
      <c r="H187" s="1"/>
    </row>
    <row r="188" spans="3:8" ht="14.25" customHeight="1" x14ac:dyDescent="0.25">
      <c r="C188" s="9"/>
      <c r="D188" s="9"/>
      <c r="G188" s="1"/>
      <c r="H188" s="1"/>
    </row>
    <row r="189" spans="3:8" ht="14.25" customHeight="1" x14ac:dyDescent="0.25">
      <c r="C189" s="9"/>
      <c r="D189" s="9"/>
      <c r="G189" s="1"/>
      <c r="H189" s="1"/>
    </row>
    <row r="190" spans="3:8" ht="14.25" customHeight="1" x14ac:dyDescent="0.25">
      <c r="C190" s="9"/>
      <c r="D190" s="9"/>
      <c r="G190" s="1"/>
      <c r="H190" s="1"/>
    </row>
    <row r="191" spans="3:8" ht="14.25" customHeight="1" x14ac:dyDescent="0.25">
      <c r="C191" s="9"/>
      <c r="D191" s="9"/>
      <c r="G191" s="1"/>
      <c r="H191" s="1"/>
    </row>
    <row r="192" spans="3:8" ht="14.25" customHeight="1" x14ac:dyDescent="0.25">
      <c r="C192" s="9"/>
      <c r="D192" s="9"/>
      <c r="G192" s="1"/>
      <c r="H192" s="1"/>
    </row>
    <row r="193" spans="3:8" ht="14.25" customHeight="1" x14ac:dyDescent="0.25">
      <c r="C193" s="9"/>
      <c r="D193" s="9"/>
      <c r="G193" s="1"/>
      <c r="H193" s="1"/>
    </row>
    <row r="194" spans="3:8" ht="14.25" customHeight="1" x14ac:dyDescent="0.25">
      <c r="C194" s="9"/>
      <c r="D194" s="9"/>
      <c r="G194" s="1"/>
      <c r="H194" s="1"/>
    </row>
    <row r="195" spans="3:8" ht="14.25" customHeight="1" x14ac:dyDescent="0.25">
      <c r="C195" s="9"/>
      <c r="D195" s="9"/>
      <c r="G195" s="1"/>
      <c r="H195" s="1"/>
    </row>
    <row r="196" spans="3:8" ht="14.25" customHeight="1" x14ac:dyDescent="0.25">
      <c r="C196" s="9"/>
      <c r="D196" s="9"/>
      <c r="G196" s="1"/>
      <c r="H196" s="1"/>
    </row>
    <row r="197" spans="3:8" ht="14.25" customHeight="1" x14ac:dyDescent="0.25">
      <c r="C197" s="9"/>
      <c r="D197" s="9"/>
      <c r="G197" s="1"/>
      <c r="H197" s="1"/>
    </row>
    <row r="198" spans="3:8" ht="14.25" customHeight="1" x14ac:dyDescent="0.25">
      <c r="C198" s="9"/>
      <c r="D198" s="9"/>
      <c r="G198" s="1"/>
      <c r="H198" s="1"/>
    </row>
    <row r="199" spans="3:8" ht="14.25" customHeight="1" x14ac:dyDescent="0.25">
      <c r="C199" s="9"/>
      <c r="D199" s="9"/>
      <c r="G199" s="1"/>
      <c r="H199" s="1"/>
    </row>
    <row r="200" spans="3:8" ht="14.25" customHeight="1" x14ac:dyDescent="0.25">
      <c r="C200" s="9"/>
      <c r="D200" s="9"/>
      <c r="G200" s="1"/>
      <c r="H200" s="1"/>
    </row>
    <row r="201" spans="3:8" ht="14.25" customHeight="1" x14ac:dyDescent="0.25">
      <c r="C201" s="9"/>
      <c r="D201" s="9"/>
      <c r="G201" s="1"/>
      <c r="H201" s="1"/>
    </row>
    <row r="202" spans="3:8" ht="14.25" customHeight="1" x14ac:dyDescent="0.25">
      <c r="C202" s="9"/>
      <c r="D202" s="9"/>
      <c r="G202" s="1"/>
      <c r="H202" s="1"/>
    </row>
    <row r="203" spans="3:8" ht="14.25" customHeight="1" x14ac:dyDescent="0.25">
      <c r="C203" s="9"/>
      <c r="D203" s="9"/>
      <c r="G203" s="1"/>
      <c r="H203" s="1"/>
    </row>
    <row r="204" spans="3:8" ht="14.25" customHeight="1" x14ac:dyDescent="0.25">
      <c r="C204" s="9"/>
      <c r="D204" s="9"/>
      <c r="G204" s="1"/>
      <c r="H204" s="1"/>
    </row>
    <row r="205" spans="3:8" ht="14.25" customHeight="1" x14ac:dyDescent="0.25">
      <c r="C205" s="9"/>
      <c r="D205" s="9"/>
      <c r="G205" s="1"/>
      <c r="H205" s="1"/>
    </row>
    <row r="206" spans="3:8" ht="14.25" customHeight="1" x14ac:dyDescent="0.25">
      <c r="C206" s="9"/>
      <c r="D206" s="9"/>
      <c r="G206" s="1"/>
      <c r="H206" s="1"/>
    </row>
    <row r="207" spans="3:8" ht="14.25" customHeight="1" x14ac:dyDescent="0.25">
      <c r="C207" s="9"/>
      <c r="D207" s="9"/>
      <c r="G207" s="1"/>
      <c r="H207" s="1"/>
    </row>
    <row r="208" spans="3:8" ht="14.25" customHeight="1" x14ac:dyDescent="0.25">
      <c r="C208" s="9"/>
      <c r="D208" s="9"/>
      <c r="G208" s="1"/>
      <c r="H208" s="1"/>
    </row>
    <row r="209" spans="3:8" ht="14.25" customHeight="1" x14ac:dyDescent="0.25">
      <c r="C209" s="9"/>
      <c r="D209" s="9"/>
      <c r="G209" s="1"/>
      <c r="H209" s="1"/>
    </row>
    <row r="210" spans="3:8" ht="14.25" customHeight="1" x14ac:dyDescent="0.25">
      <c r="C210" s="9"/>
      <c r="D210" s="9"/>
      <c r="G210" s="1"/>
      <c r="H210" s="1"/>
    </row>
    <row r="211" spans="3:8" ht="14.25" customHeight="1" x14ac:dyDescent="0.25">
      <c r="C211" s="9"/>
      <c r="D211" s="9"/>
      <c r="G211" s="1"/>
      <c r="H211" s="1"/>
    </row>
    <row r="212" spans="3:8" ht="14.25" customHeight="1" x14ac:dyDescent="0.25">
      <c r="C212" s="9"/>
      <c r="D212" s="9"/>
      <c r="G212" s="1"/>
      <c r="H212" s="1"/>
    </row>
    <row r="213" spans="3:8" ht="14.25" customHeight="1" x14ac:dyDescent="0.25">
      <c r="C213" s="9"/>
      <c r="D213" s="9"/>
      <c r="G213" s="1"/>
      <c r="H213" s="1"/>
    </row>
    <row r="214" spans="3:8" ht="14.25" customHeight="1" x14ac:dyDescent="0.25">
      <c r="C214" s="9"/>
      <c r="D214" s="9"/>
      <c r="G214" s="1"/>
      <c r="H214" s="1"/>
    </row>
    <row r="215" spans="3:8" ht="14.25" customHeight="1" x14ac:dyDescent="0.25">
      <c r="C215" s="9"/>
      <c r="D215" s="9"/>
      <c r="G215" s="1"/>
      <c r="H215" s="1"/>
    </row>
    <row r="216" spans="3:8" ht="14.25" customHeight="1" x14ac:dyDescent="0.25">
      <c r="C216" s="9"/>
      <c r="D216" s="9"/>
      <c r="G216" s="1"/>
      <c r="H216" s="1"/>
    </row>
    <row r="217" spans="3:8" ht="14.25" customHeight="1" x14ac:dyDescent="0.25">
      <c r="C217" s="9"/>
      <c r="D217" s="9"/>
      <c r="G217" s="1"/>
      <c r="H217" s="1"/>
    </row>
    <row r="218" spans="3:8" ht="14.25" customHeight="1" x14ac:dyDescent="0.25">
      <c r="C218" s="9"/>
      <c r="D218" s="9"/>
      <c r="G218" s="1"/>
      <c r="H218" s="1"/>
    </row>
    <row r="219" spans="3:8" ht="14.25" customHeight="1" x14ac:dyDescent="0.25">
      <c r="C219" s="9"/>
      <c r="D219" s="9"/>
      <c r="G219" s="1"/>
      <c r="H219" s="1"/>
    </row>
    <row r="220" spans="3:8" ht="14.25" customHeight="1" x14ac:dyDescent="0.25">
      <c r="C220" s="9"/>
      <c r="D220" s="9"/>
      <c r="G220" s="1"/>
      <c r="H220" s="1"/>
    </row>
    <row r="221" spans="3:8" ht="14.25" customHeight="1" x14ac:dyDescent="0.25">
      <c r="C221" s="9"/>
      <c r="D221" s="9"/>
      <c r="G221" s="1"/>
      <c r="H221" s="1"/>
    </row>
    <row r="222" spans="3:8" ht="14.25" customHeight="1" x14ac:dyDescent="0.25">
      <c r="C222" s="9"/>
      <c r="D222" s="9"/>
      <c r="G222" s="1"/>
      <c r="H222" s="1"/>
    </row>
    <row r="223" spans="3:8" ht="14.25" customHeight="1" x14ac:dyDescent="0.25">
      <c r="C223" s="9"/>
      <c r="D223" s="9"/>
      <c r="G223" s="1"/>
      <c r="H223" s="1"/>
    </row>
    <row r="224" spans="3:8" ht="14.25" customHeight="1" x14ac:dyDescent="0.25">
      <c r="C224" s="9"/>
      <c r="D224" s="9"/>
      <c r="G224" s="1"/>
      <c r="H224" s="1"/>
    </row>
    <row r="225" spans="2:8" ht="14.25" customHeight="1" x14ac:dyDescent="0.25">
      <c r="B225" s="1"/>
      <c r="C225" s="1"/>
      <c r="D225" s="1"/>
      <c r="G225" s="1"/>
      <c r="H225" s="1"/>
    </row>
    <row r="226" spans="2:8" ht="14.25" customHeight="1" x14ac:dyDescent="0.25">
      <c r="B226" s="1"/>
      <c r="C226" s="1"/>
      <c r="D226" s="1"/>
      <c r="G226" s="1"/>
      <c r="H226" s="1"/>
    </row>
    <row r="227" spans="2:8" ht="14.25" customHeight="1" x14ac:dyDescent="0.25">
      <c r="B227" s="1"/>
      <c r="C227" s="1"/>
      <c r="D227" s="1"/>
      <c r="G227" s="1"/>
      <c r="H227" s="1"/>
    </row>
    <row r="228" spans="2:8" ht="14.25" customHeight="1" x14ac:dyDescent="0.25">
      <c r="B228" s="1"/>
      <c r="C228" s="1"/>
      <c r="D228" s="1"/>
      <c r="G228" s="1"/>
      <c r="H228" s="1"/>
    </row>
    <row r="229" spans="2:8" ht="14.25" customHeight="1" x14ac:dyDescent="0.25">
      <c r="B229" s="1"/>
      <c r="C229" s="1"/>
      <c r="D229" s="1"/>
      <c r="G229" s="1"/>
      <c r="H229" s="1"/>
    </row>
    <row r="230" spans="2:8" ht="14.25" customHeight="1" x14ac:dyDescent="0.25">
      <c r="B230" s="1"/>
      <c r="C230" s="1"/>
      <c r="D230" s="1"/>
      <c r="G230" s="1"/>
      <c r="H230" s="1"/>
    </row>
    <row r="231" spans="2:8" ht="14.25" customHeight="1" x14ac:dyDescent="0.25">
      <c r="B231" s="1"/>
      <c r="C231" s="1"/>
      <c r="D231" s="1"/>
      <c r="G231" s="1"/>
      <c r="H231" s="1"/>
    </row>
    <row r="232" spans="2:8" ht="14.25" customHeight="1" x14ac:dyDescent="0.25">
      <c r="B232" s="1"/>
      <c r="C232" s="1"/>
      <c r="D232" s="1"/>
      <c r="G232" s="1"/>
      <c r="H232" s="1"/>
    </row>
    <row r="233" spans="2:8" ht="14.25" customHeight="1" x14ac:dyDescent="0.25">
      <c r="B233" s="1"/>
      <c r="C233" s="1"/>
      <c r="D233" s="1"/>
      <c r="G233" s="1"/>
      <c r="H233" s="1"/>
    </row>
    <row r="234" spans="2:8" ht="14.25" customHeight="1" x14ac:dyDescent="0.25">
      <c r="B234" s="1"/>
      <c r="C234" s="1"/>
      <c r="D234" s="1"/>
      <c r="G234" s="1"/>
      <c r="H234" s="1"/>
    </row>
    <row r="235" spans="2:8" ht="14.25" customHeight="1" x14ac:dyDescent="0.25">
      <c r="B235" s="1"/>
      <c r="C235" s="1"/>
      <c r="D235" s="1"/>
      <c r="G235" s="1"/>
      <c r="H235" s="1"/>
    </row>
    <row r="236" spans="2:8" ht="14.25" customHeight="1" x14ac:dyDescent="0.25">
      <c r="B236" s="1"/>
      <c r="C236" s="1"/>
      <c r="D236" s="1"/>
      <c r="G236" s="1"/>
      <c r="H236" s="1"/>
    </row>
    <row r="237" spans="2:8" ht="14.25" customHeight="1" x14ac:dyDescent="0.25">
      <c r="B237" s="1"/>
      <c r="C237" s="1"/>
      <c r="D237" s="1"/>
      <c r="G237" s="1"/>
      <c r="H237" s="1"/>
    </row>
    <row r="238" spans="2:8" ht="14.25" customHeight="1" x14ac:dyDescent="0.25">
      <c r="B238" s="1"/>
      <c r="C238" s="1"/>
      <c r="D238" s="1"/>
      <c r="G238" s="1"/>
      <c r="H238" s="1"/>
    </row>
    <row r="239" spans="2:8" ht="14.25" customHeight="1" x14ac:dyDescent="0.25">
      <c r="B239" s="1"/>
      <c r="C239" s="1"/>
      <c r="D239" s="1"/>
      <c r="G239" s="1"/>
      <c r="H239" s="1"/>
    </row>
    <row r="240" spans="2:8" ht="14.25" customHeight="1" x14ac:dyDescent="0.25">
      <c r="B240" s="1"/>
      <c r="C240" s="1"/>
      <c r="D240" s="1"/>
      <c r="G240" s="1"/>
      <c r="H240" s="1"/>
    </row>
    <row r="241" spans="2:8" ht="14.25" customHeight="1" x14ac:dyDescent="0.25">
      <c r="B241" s="1"/>
      <c r="C241" s="1"/>
      <c r="D241" s="1"/>
      <c r="G241" s="1"/>
      <c r="H241" s="1"/>
    </row>
    <row r="242" spans="2:8" ht="14.25" customHeight="1" x14ac:dyDescent="0.25">
      <c r="B242" s="1"/>
      <c r="C242" s="1"/>
      <c r="D242" s="1"/>
      <c r="G242" s="1"/>
      <c r="H242" s="1"/>
    </row>
    <row r="243" spans="2:8" ht="14.25" customHeight="1" x14ac:dyDescent="0.25">
      <c r="B243" s="1"/>
      <c r="C243" s="1"/>
      <c r="D243" s="1"/>
      <c r="G243" s="1"/>
      <c r="H243" s="1"/>
    </row>
    <row r="244" spans="2:8" ht="14.25" customHeight="1" x14ac:dyDescent="0.25">
      <c r="B244" s="1"/>
      <c r="C244" s="1"/>
      <c r="D244" s="1"/>
      <c r="G244" s="1"/>
      <c r="H244" s="1"/>
    </row>
    <row r="245" spans="2:8" ht="14.25" customHeight="1" x14ac:dyDescent="0.25">
      <c r="B245" s="1"/>
      <c r="C245" s="1"/>
      <c r="D245" s="1"/>
      <c r="G245" s="1"/>
      <c r="H245" s="1"/>
    </row>
    <row r="246" spans="2:8" ht="14.25" customHeight="1" x14ac:dyDescent="0.25">
      <c r="B246" s="1"/>
      <c r="C246" s="1"/>
      <c r="D246" s="1"/>
      <c r="G246" s="1"/>
      <c r="H246" s="1"/>
    </row>
    <row r="247" spans="2:8" ht="14.25" customHeight="1" x14ac:dyDescent="0.25">
      <c r="B247" s="1"/>
      <c r="C247" s="1"/>
      <c r="D247" s="1"/>
      <c r="G247" s="1"/>
      <c r="H247" s="1"/>
    </row>
    <row r="248" spans="2:8" ht="14.25" customHeight="1" x14ac:dyDescent="0.25">
      <c r="B248" s="1"/>
      <c r="C248" s="1"/>
      <c r="D248" s="1"/>
      <c r="G248" s="1"/>
      <c r="H248" s="1"/>
    </row>
    <row r="249" spans="2:8" ht="14.25" customHeight="1" x14ac:dyDescent="0.25">
      <c r="B249" s="1"/>
      <c r="C249" s="1"/>
      <c r="D249" s="1"/>
      <c r="G249" s="1"/>
      <c r="H249" s="1"/>
    </row>
    <row r="250" spans="2:8" ht="14.25" customHeight="1" x14ac:dyDescent="0.25">
      <c r="B250" s="1"/>
      <c r="C250" s="1"/>
      <c r="D250" s="1"/>
      <c r="G250" s="1"/>
      <c r="H250" s="1"/>
    </row>
    <row r="251" spans="2:8" ht="14.25" customHeight="1" x14ac:dyDescent="0.25">
      <c r="B251" s="1"/>
      <c r="C251" s="1"/>
      <c r="D251" s="1"/>
      <c r="G251" s="1"/>
      <c r="H251" s="1"/>
    </row>
    <row r="252" spans="2:8" ht="14.25" customHeight="1" x14ac:dyDescent="0.25">
      <c r="B252" s="1"/>
      <c r="C252" s="1"/>
      <c r="D252" s="1"/>
      <c r="G252" s="1"/>
      <c r="H252" s="1"/>
    </row>
    <row r="253" spans="2:8" ht="14.25" customHeight="1" x14ac:dyDescent="0.25">
      <c r="B253" s="1"/>
      <c r="C253" s="1"/>
      <c r="D253" s="1"/>
      <c r="G253" s="1"/>
      <c r="H253" s="1"/>
    </row>
    <row r="254" spans="2:8" ht="14.25" customHeight="1" x14ac:dyDescent="0.25">
      <c r="B254" s="1"/>
      <c r="C254" s="1"/>
      <c r="D254" s="1"/>
      <c r="G254" s="1"/>
      <c r="H254" s="1"/>
    </row>
    <row r="255" spans="2:8" ht="14.25" customHeight="1" x14ac:dyDescent="0.25">
      <c r="B255" s="1"/>
      <c r="C255" s="1"/>
      <c r="D255" s="1"/>
      <c r="G255" s="1"/>
      <c r="H255" s="1"/>
    </row>
    <row r="256" spans="2:8" ht="14.25" customHeight="1" x14ac:dyDescent="0.25">
      <c r="B256" s="1"/>
      <c r="C256" s="1"/>
      <c r="D256" s="1"/>
      <c r="G256" s="1"/>
      <c r="H256" s="1"/>
    </row>
    <row r="257" spans="2:8" ht="14.25" customHeight="1" x14ac:dyDescent="0.25">
      <c r="B257" s="1"/>
      <c r="C257" s="1"/>
      <c r="D257" s="1"/>
      <c r="G257" s="1"/>
      <c r="H257" s="1"/>
    </row>
    <row r="258" spans="2:8" ht="14.25" customHeight="1" x14ac:dyDescent="0.25">
      <c r="B258" s="1"/>
      <c r="C258" s="1"/>
      <c r="D258" s="1"/>
      <c r="G258" s="1"/>
      <c r="H258" s="1"/>
    </row>
    <row r="259" spans="2:8" ht="14.25" customHeight="1" x14ac:dyDescent="0.25">
      <c r="B259" s="1"/>
      <c r="C259" s="1"/>
      <c r="D259" s="1"/>
      <c r="G259" s="1"/>
      <c r="H259" s="1"/>
    </row>
    <row r="260" spans="2:8" ht="14.25" customHeight="1" x14ac:dyDescent="0.25">
      <c r="B260" s="1"/>
      <c r="C260" s="1"/>
      <c r="D260" s="1"/>
      <c r="G260" s="1"/>
      <c r="H260" s="1"/>
    </row>
    <row r="261" spans="2:8" ht="14.25" customHeight="1" x14ac:dyDescent="0.25">
      <c r="B261" s="1"/>
      <c r="C261" s="1"/>
      <c r="D261" s="1"/>
      <c r="G261" s="1"/>
      <c r="H261" s="1"/>
    </row>
    <row r="262" spans="2:8" ht="14.25" customHeight="1" x14ac:dyDescent="0.25">
      <c r="B262" s="1"/>
      <c r="C262" s="1"/>
      <c r="D262" s="1"/>
      <c r="G262" s="1"/>
      <c r="H262" s="1"/>
    </row>
    <row r="263" spans="2:8" ht="14.25" customHeight="1" x14ac:dyDescent="0.25">
      <c r="B263" s="1"/>
      <c r="C263" s="1"/>
      <c r="D263" s="1"/>
      <c r="G263" s="1"/>
      <c r="H263" s="1"/>
    </row>
    <row r="264" spans="2:8" ht="14.25" customHeight="1" x14ac:dyDescent="0.25">
      <c r="B264" s="1"/>
      <c r="C264" s="1"/>
      <c r="D264" s="1"/>
      <c r="G264" s="1"/>
      <c r="H264" s="1"/>
    </row>
    <row r="265" spans="2:8" ht="14.25" customHeight="1" x14ac:dyDescent="0.25">
      <c r="B265" s="1"/>
      <c r="C265" s="1"/>
      <c r="D265" s="1"/>
      <c r="G265" s="1"/>
      <c r="H265" s="1"/>
    </row>
    <row r="266" spans="2:8" ht="14.25" customHeight="1" x14ac:dyDescent="0.25">
      <c r="B266" s="1"/>
      <c r="C266" s="1"/>
      <c r="D266" s="1"/>
      <c r="G266" s="1"/>
      <c r="H266" s="1"/>
    </row>
    <row r="267" spans="2:8" ht="14.25" customHeight="1" x14ac:dyDescent="0.25">
      <c r="B267" s="1"/>
      <c r="C267" s="1"/>
      <c r="D267" s="1"/>
      <c r="G267" s="1"/>
      <c r="H267" s="1"/>
    </row>
    <row r="268" spans="2:8" ht="14.25" customHeight="1" x14ac:dyDescent="0.25">
      <c r="B268" s="1"/>
      <c r="C268" s="1"/>
      <c r="D268" s="1"/>
      <c r="G268" s="1"/>
      <c r="H268" s="1"/>
    </row>
    <row r="269" spans="2:8" ht="14.25" customHeight="1" x14ac:dyDescent="0.25">
      <c r="B269" s="1"/>
      <c r="C269" s="1"/>
      <c r="D269" s="1"/>
      <c r="G269" s="1"/>
      <c r="H269" s="1"/>
    </row>
    <row r="270" spans="2:8" ht="14.25" customHeight="1" x14ac:dyDescent="0.25">
      <c r="B270" s="1"/>
      <c r="C270" s="1"/>
      <c r="D270" s="1"/>
      <c r="G270" s="1"/>
      <c r="H270" s="1"/>
    </row>
    <row r="271" spans="2:8" ht="14.25" customHeight="1" x14ac:dyDescent="0.25">
      <c r="B271" s="1"/>
      <c r="C271" s="1"/>
      <c r="D271" s="1"/>
      <c r="G271" s="1"/>
      <c r="H271" s="1"/>
    </row>
    <row r="272" spans="2:8" ht="14.25" customHeight="1" x14ac:dyDescent="0.25">
      <c r="B272" s="1"/>
      <c r="C272" s="1"/>
      <c r="D272" s="1"/>
      <c r="G272" s="1"/>
      <c r="H272" s="1"/>
    </row>
    <row r="273" spans="2:8" ht="14.25" customHeight="1" x14ac:dyDescent="0.25">
      <c r="B273" s="1"/>
      <c r="C273" s="1"/>
      <c r="D273" s="1"/>
      <c r="G273" s="1"/>
      <c r="H273" s="1"/>
    </row>
    <row r="274" spans="2:8" ht="14.25" customHeight="1" x14ac:dyDescent="0.25">
      <c r="B274" s="1"/>
      <c r="C274" s="1"/>
      <c r="D274" s="1"/>
      <c r="G274" s="1"/>
      <c r="H274" s="1"/>
    </row>
    <row r="275" spans="2:8" ht="14.25" customHeight="1" x14ac:dyDescent="0.25">
      <c r="B275" s="1"/>
      <c r="C275" s="1"/>
      <c r="D275" s="1"/>
      <c r="G275" s="1"/>
      <c r="H275" s="1"/>
    </row>
    <row r="276" spans="2:8" ht="14.25" customHeight="1" x14ac:dyDescent="0.25">
      <c r="B276" s="1"/>
      <c r="C276" s="1"/>
      <c r="D276" s="1"/>
      <c r="G276" s="1"/>
      <c r="H276" s="1"/>
    </row>
    <row r="277" spans="2:8" ht="14.25" customHeight="1" x14ac:dyDescent="0.25">
      <c r="B277" s="1"/>
      <c r="C277" s="1"/>
      <c r="D277" s="1"/>
      <c r="G277" s="1"/>
      <c r="H277" s="1"/>
    </row>
    <row r="278" spans="2:8" ht="14.25" customHeight="1" x14ac:dyDescent="0.25">
      <c r="B278" s="1"/>
      <c r="C278" s="1"/>
      <c r="D278" s="1"/>
      <c r="G278" s="1"/>
      <c r="H278" s="1"/>
    </row>
    <row r="279" spans="2:8" ht="14.25" customHeight="1" x14ac:dyDescent="0.25">
      <c r="B279" s="1"/>
      <c r="C279" s="1"/>
      <c r="D279" s="1"/>
      <c r="G279" s="1"/>
      <c r="H279" s="1"/>
    </row>
    <row r="280" spans="2:8" ht="14.25" customHeight="1" x14ac:dyDescent="0.25">
      <c r="B280" s="1"/>
      <c r="C280" s="1"/>
      <c r="D280" s="1"/>
      <c r="G280" s="1"/>
      <c r="H280" s="1"/>
    </row>
    <row r="281" spans="2:8" ht="14.25" customHeight="1" x14ac:dyDescent="0.25">
      <c r="B281" s="1"/>
      <c r="C281" s="1"/>
      <c r="D281" s="1"/>
      <c r="G281" s="1"/>
      <c r="H281" s="1"/>
    </row>
    <row r="282" spans="2:8" ht="14.25" customHeight="1" x14ac:dyDescent="0.25">
      <c r="B282" s="1"/>
      <c r="C282" s="1"/>
      <c r="D282" s="1"/>
      <c r="G282" s="1"/>
      <c r="H282" s="1"/>
    </row>
    <row r="283" spans="2:8" ht="14.25" customHeight="1" x14ac:dyDescent="0.25">
      <c r="B283" s="1"/>
      <c r="C283" s="1"/>
      <c r="D283" s="1"/>
      <c r="G283" s="1"/>
      <c r="H283" s="1"/>
    </row>
    <row r="284" spans="2:8" ht="14.25" customHeight="1" x14ac:dyDescent="0.25">
      <c r="B284" s="1"/>
      <c r="C284" s="1"/>
      <c r="D284" s="1"/>
      <c r="G284" s="1"/>
      <c r="H284" s="1"/>
    </row>
    <row r="285" spans="2:8" ht="14.25" customHeight="1" x14ac:dyDescent="0.25">
      <c r="B285" s="1"/>
      <c r="C285" s="1"/>
      <c r="D285" s="1"/>
      <c r="G285" s="1"/>
      <c r="H285" s="1"/>
    </row>
    <row r="286" spans="2:8" ht="14.25" customHeight="1" x14ac:dyDescent="0.25">
      <c r="B286" s="1"/>
      <c r="C286" s="1"/>
      <c r="D286" s="1"/>
      <c r="G286" s="1"/>
      <c r="H286" s="1"/>
    </row>
    <row r="287" spans="2:8" ht="14.25" customHeight="1" x14ac:dyDescent="0.25">
      <c r="B287" s="1"/>
      <c r="C287" s="1"/>
      <c r="D287" s="1"/>
      <c r="G287" s="1"/>
      <c r="H287" s="1"/>
    </row>
    <row r="288" spans="2:8" ht="14.25" customHeight="1" x14ac:dyDescent="0.25">
      <c r="B288" s="1"/>
      <c r="C288" s="1"/>
      <c r="D288" s="1"/>
      <c r="G288" s="1"/>
      <c r="H288" s="1"/>
    </row>
    <row r="289" spans="2:8" ht="14.25" customHeight="1" x14ac:dyDescent="0.25">
      <c r="B289" s="1"/>
      <c r="C289" s="1"/>
      <c r="D289" s="1"/>
      <c r="G289" s="1"/>
      <c r="H289" s="1"/>
    </row>
    <row r="290" spans="2:8" ht="14.25" customHeight="1" x14ac:dyDescent="0.25">
      <c r="B290" s="1"/>
      <c r="C290" s="1"/>
      <c r="D290" s="1"/>
      <c r="G290" s="1"/>
      <c r="H290" s="1"/>
    </row>
    <row r="291" spans="2:8" ht="14.25" customHeight="1" x14ac:dyDescent="0.25">
      <c r="B291" s="1"/>
      <c r="C291" s="1"/>
      <c r="D291" s="1"/>
      <c r="G291" s="1"/>
      <c r="H291" s="1"/>
    </row>
    <row r="292" spans="2:8" ht="14.25" customHeight="1" x14ac:dyDescent="0.25">
      <c r="B292" s="1"/>
      <c r="C292" s="1"/>
      <c r="D292" s="1"/>
      <c r="G292" s="1"/>
      <c r="H292" s="1"/>
    </row>
    <row r="293" spans="2:8" ht="14.25" customHeight="1" x14ac:dyDescent="0.25">
      <c r="B293" s="1"/>
      <c r="C293" s="1"/>
      <c r="D293" s="1"/>
      <c r="G293" s="1"/>
      <c r="H293" s="1"/>
    </row>
    <row r="294" spans="2:8" ht="14.25" customHeight="1" x14ac:dyDescent="0.25">
      <c r="B294" s="1"/>
      <c r="C294" s="1"/>
      <c r="D294" s="1"/>
      <c r="G294" s="1"/>
      <c r="H294" s="1"/>
    </row>
    <row r="295" spans="2:8" ht="14.25" customHeight="1" x14ac:dyDescent="0.25">
      <c r="B295" s="1"/>
      <c r="C295" s="1"/>
      <c r="D295" s="1"/>
      <c r="G295" s="1"/>
      <c r="H295" s="1"/>
    </row>
    <row r="296" spans="2:8" ht="14.25" customHeight="1" x14ac:dyDescent="0.25">
      <c r="B296" s="1"/>
      <c r="C296" s="1"/>
      <c r="D296" s="1"/>
      <c r="G296" s="1"/>
      <c r="H296" s="1"/>
    </row>
    <row r="297" spans="2:8" ht="14.25" customHeight="1" x14ac:dyDescent="0.25">
      <c r="B297" s="1"/>
      <c r="C297" s="1"/>
      <c r="D297" s="1"/>
      <c r="G297" s="1"/>
      <c r="H297" s="1"/>
    </row>
    <row r="298" spans="2:8" ht="14.25" customHeight="1" x14ac:dyDescent="0.25">
      <c r="B298" s="1"/>
      <c r="C298" s="1"/>
      <c r="D298" s="1"/>
      <c r="G298" s="1"/>
      <c r="H298" s="1"/>
    </row>
    <row r="299" spans="2:8" ht="14.25" customHeight="1" x14ac:dyDescent="0.25">
      <c r="B299" s="1"/>
      <c r="C299" s="1"/>
      <c r="D299" s="1"/>
      <c r="G299" s="1"/>
      <c r="H299" s="1"/>
    </row>
    <row r="300" spans="2:8" ht="14.25" customHeight="1" x14ac:dyDescent="0.25">
      <c r="B300" s="1"/>
      <c r="C300" s="1"/>
      <c r="D300" s="1"/>
      <c r="G300" s="1"/>
      <c r="H300" s="1"/>
    </row>
    <row r="301" spans="2:8" ht="14.25" customHeight="1" x14ac:dyDescent="0.25">
      <c r="B301" s="1"/>
      <c r="C301" s="1"/>
      <c r="D301" s="1"/>
      <c r="G301" s="1"/>
      <c r="H301" s="1"/>
    </row>
    <row r="302" spans="2:8" ht="14.25" customHeight="1" x14ac:dyDescent="0.25">
      <c r="B302" s="1"/>
      <c r="C302" s="1"/>
      <c r="D302" s="1"/>
      <c r="G302" s="1"/>
      <c r="H302" s="1"/>
    </row>
    <row r="303" spans="2:8" ht="14.25" customHeight="1" x14ac:dyDescent="0.25">
      <c r="B303" s="1"/>
      <c r="C303" s="1"/>
      <c r="D303" s="1"/>
      <c r="G303" s="1"/>
      <c r="H303" s="1"/>
    </row>
    <row r="304" spans="2:8" ht="14.25" customHeight="1" x14ac:dyDescent="0.25">
      <c r="B304" s="1"/>
      <c r="C304" s="1"/>
      <c r="D304" s="1"/>
      <c r="G304" s="1"/>
      <c r="H304" s="1"/>
    </row>
    <row r="305" spans="2:8" ht="14.25" customHeight="1" x14ac:dyDescent="0.25">
      <c r="B305" s="1"/>
      <c r="C305" s="1"/>
      <c r="D305" s="1"/>
      <c r="G305" s="1"/>
      <c r="H305" s="1"/>
    </row>
    <row r="306" spans="2:8" ht="14.25" customHeight="1" x14ac:dyDescent="0.25">
      <c r="B306" s="1"/>
      <c r="C306" s="1"/>
      <c r="D306" s="1"/>
      <c r="G306" s="1"/>
      <c r="H306" s="1"/>
    </row>
    <row r="307" spans="2:8" ht="14.25" customHeight="1" x14ac:dyDescent="0.25">
      <c r="B307" s="1"/>
      <c r="C307" s="1"/>
      <c r="D307" s="1"/>
      <c r="G307" s="1"/>
      <c r="H307" s="1"/>
    </row>
    <row r="308" spans="2:8" ht="14.25" customHeight="1" x14ac:dyDescent="0.25">
      <c r="B308" s="1"/>
      <c r="C308" s="1"/>
      <c r="D308" s="1"/>
      <c r="G308" s="1"/>
      <c r="H308" s="1"/>
    </row>
    <row r="309" spans="2:8" ht="14.25" customHeight="1" x14ac:dyDescent="0.25">
      <c r="B309" s="1"/>
      <c r="C309" s="1"/>
      <c r="D309" s="1"/>
      <c r="G309" s="1"/>
      <c r="H309" s="1"/>
    </row>
    <row r="310" spans="2:8" ht="14.25" customHeight="1" x14ac:dyDescent="0.25">
      <c r="B310" s="1"/>
      <c r="C310" s="1"/>
      <c r="D310" s="1"/>
      <c r="G310" s="1"/>
      <c r="H310" s="1"/>
    </row>
    <row r="311" spans="2:8" ht="14.25" customHeight="1" x14ac:dyDescent="0.25">
      <c r="B311" s="1"/>
      <c r="C311" s="1"/>
      <c r="D311" s="1"/>
      <c r="G311" s="1"/>
      <c r="H311" s="1"/>
    </row>
    <row r="312" spans="2:8" ht="14.25" customHeight="1" x14ac:dyDescent="0.25">
      <c r="B312" s="1"/>
      <c r="C312" s="1"/>
      <c r="D312" s="1"/>
      <c r="G312" s="1"/>
      <c r="H312" s="1"/>
    </row>
    <row r="313" spans="2:8" ht="14.25" customHeight="1" x14ac:dyDescent="0.25">
      <c r="B313" s="1"/>
      <c r="C313" s="1"/>
      <c r="D313" s="1"/>
      <c r="G313" s="1"/>
      <c r="H313" s="1"/>
    </row>
    <row r="314" spans="2:8" ht="14.25" customHeight="1" x14ac:dyDescent="0.25">
      <c r="B314" s="1"/>
      <c r="C314" s="1"/>
      <c r="D314" s="1"/>
      <c r="G314" s="1"/>
      <c r="H314" s="1"/>
    </row>
    <row r="315" spans="2:8" ht="14.25" customHeight="1" x14ac:dyDescent="0.25">
      <c r="B315" s="1"/>
      <c r="C315" s="1"/>
      <c r="D315" s="1"/>
      <c r="G315" s="1"/>
      <c r="H315" s="1"/>
    </row>
    <row r="316" spans="2:8" ht="14.25" customHeight="1" x14ac:dyDescent="0.25">
      <c r="B316" s="1"/>
      <c r="C316" s="1"/>
      <c r="D316" s="1"/>
      <c r="G316" s="1"/>
      <c r="H316" s="1"/>
    </row>
    <row r="317" spans="2:8" ht="14.25" customHeight="1" x14ac:dyDescent="0.25">
      <c r="B317" s="1"/>
      <c r="C317" s="1"/>
      <c r="D317" s="1"/>
      <c r="G317" s="1"/>
      <c r="H317" s="1"/>
    </row>
    <row r="318" spans="2:8" ht="14.25" customHeight="1" x14ac:dyDescent="0.25">
      <c r="B318" s="1"/>
      <c r="C318" s="1"/>
      <c r="D318" s="1"/>
      <c r="G318" s="1"/>
      <c r="H318" s="1"/>
    </row>
    <row r="319" spans="2:8" ht="14.25" customHeight="1" x14ac:dyDescent="0.25">
      <c r="B319" s="1"/>
      <c r="C319" s="1"/>
      <c r="D319" s="1"/>
      <c r="G319" s="1"/>
      <c r="H319" s="1"/>
    </row>
    <row r="320" spans="2:8" ht="14.25" customHeight="1" x14ac:dyDescent="0.25">
      <c r="B320" s="1"/>
      <c r="C320" s="1"/>
      <c r="D320" s="1"/>
      <c r="G320" s="1"/>
      <c r="H320" s="1"/>
    </row>
    <row r="321" spans="2:8" ht="14.25" customHeight="1" x14ac:dyDescent="0.25">
      <c r="B321" s="1"/>
      <c r="C321" s="1"/>
      <c r="D321" s="1"/>
      <c r="G321" s="1"/>
      <c r="H321" s="1"/>
    </row>
    <row r="322" spans="2:8" ht="14.25" customHeight="1" x14ac:dyDescent="0.25">
      <c r="B322" s="1"/>
      <c r="C322" s="1"/>
      <c r="D322" s="1"/>
      <c r="G322" s="1"/>
      <c r="H322" s="1"/>
    </row>
    <row r="323" spans="2:8" ht="14.25" customHeight="1" x14ac:dyDescent="0.25">
      <c r="B323" s="1"/>
      <c r="C323" s="1"/>
      <c r="D323" s="1"/>
      <c r="G323" s="1"/>
      <c r="H323" s="1"/>
    </row>
    <row r="324" spans="2:8" ht="14.25" customHeight="1" x14ac:dyDescent="0.25">
      <c r="B324" s="1"/>
      <c r="C324" s="1"/>
      <c r="D324" s="1"/>
      <c r="G324" s="1"/>
      <c r="H324" s="1"/>
    </row>
    <row r="325" spans="2:8" ht="14.25" customHeight="1" x14ac:dyDescent="0.25">
      <c r="B325" s="1"/>
      <c r="C325" s="1"/>
      <c r="D325" s="1"/>
      <c r="G325" s="1"/>
      <c r="H325" s="1"/>
    </row>
    <row r="326" spans="2:8" ht="14.25" customHeight="1" x14ac:dyDescent="0.25">
      <c r="B326" s="1"/>
      <c r="C326" s="1"/>
      <c r="D326" s="1"/>
      <c r="G326" s="1"/>
      <c r="H326" s="1"/>
    </row>
    <row r="327" spans="2:8" ht="14.25" customHeight="1" x14ac:dyDescent="0.25">
      <c r="B327" s="1"/>
      <c r="C327" s="1"/>
      <c r="D327" s="1"/>
      <c r="G327" s="1"/>
      <c r="H327" s="1"/>
    </row>
    <row r="328" spans="2:8" ht="14.25" customHeight="1" x14ac:dyDescent="0.25">
      <c r="B328" s="1"/>
      <c r="C328" s="1"/>
      <c r="D328" s="1"/>
      <c r="G328" s="1"/>
      <c r="H328" s="1"/>
    </row>
    <row r="329" spans="2:8" ht="14.25" customHeight="1" x14ac:dyDescent="0.25">
      <c r="B329" s="1"/>
      <c r="C329" s="1"/>
      <c r="D329" s="1"/>
      <c r="G329" s="1"/>
      <c r="H329" s="1"/>
    </row>
    <row r="330" spans="2:8" ht="14.25" customHeight="1" x14ac:dyDescent="0.25">
      <c r="B330" s="1"/>
      <c r="C330" s="1"/>
      <c r="D330" s="1"/>
      <c r="G330" s="1"/>
      <c r="H330" s="1"/>
    </row>
    <row r="331" spans="2:8" ht="14.25" customHeight="1" x14ac:dyDescent="0.25">
      <c r="B331" s="1"/>
      <c r="C331" s="1"/>
      <c r="D331" s="1"/>
      <c r="G331" s="1"/>
      <c r="H331" s="1"/>
    </row>
    <row r="332" spans="2:8" ht="14.25" customHeight="1" x14ac:dyDescent="0.25">
      <c r="B332" s="1"/>
      <c r="C332" s="1"/>
      <c r="D332" s="1"/>
      <c r="G332" s="1"/>
      <c r="H332" s="1"/>
    </row>
    <row r="333" spans="2:8" ht="14.25" customHeight="1" x14ac:dyDescent="0.25">
      <c r="B333" s="1"/>
      <c r="C333" s="1"/>
      <c r="D333" s="1"/>
      <c r="G333" s="1"/>
      <c r="H333" s="1"/>
    </row>
    <row r="334" spans="2:8" ht="14.25" customHeight="1" x14ac:dyDescent="0.25">
      <c r="B334" s="1"/>
      <c r="C334" s="1"/>
      <c r="D334" s="1"/>
      <c r="G334" s="1"/>
      <c r="H334" s="1"/>
    </row>
    <row r="335" spans="2:8" ht="14.25" customHeight="1" x14ac:dyDescent="0.25">
      <c r="B335" s="1"/>
      <c r="C335" s="1"/>
      <c r="D335" s="1"/>
      <c r="G335" s="1"/>
      <c r="H335" s="1"/>
    </row>
    <row r="336" spans="2:8" ht="14.25" customHeight="1" x14ac:dyDescent="0.25">
      <c r="B336" s="1"/>
      <c r="C336" s="1"/>
      <c r="D336" s="1"/>
      <c r="G336" s="1"/>
      <c r="H336" s="1"/>
    </row>
    <row r="337" spans="2:8" ht="14.25" customHeight="1" x14ac:dyDescent="0.25">
      <c r="B337" s="1"/>
      <c r="C337" s="1"/>
      <c r="D337" s="1"/>
      <c r="G337" s="1"/>
      <c r="H337" s="1"/>
    </row>
    <row r="338" spans="2:8" ht="14.25" customHeight="1" x14ac:dyDescent="0.25">
      <c r="B338" s="1"/>
      <c r="C338" s="1"/>
      <c r="D338" s="1"/>
      <c r="G338" s="1"/>
      <c r="H338" s="1"/>
    </row>
    <row r="339" spans="2:8" ht="14.25" customHeight="1" x14ac:dyDescent="0.25">
      <c r="B339" s="1"/>
      <c r="C339" s="1"/>
      <c r="D339" s="1"/>
      <c r="G339" s="1"/>
      <c r="H339" s="1"/>
    </row>
    <row r="340" spans="2:8" ht="14.25" customHeight="1" x14ac:dyDescent="0.25">
      <c r="B340" s="1"/>
      <c r="C340" s="1"/>
      <c r="D340" s="1"/>
      <c r="G340" s="1"/>
      <c r="H340" s="1"/>
    </row>
    <row r="341" spans="2:8" ht="14.25" customHeight="1" x14ac:dyDescent="0.25">
      <c r="B341" s="1"/>
      <c r="C341" s="1"/>
      <c r="D341" s="1"/>
      <c r="G341" s="1"/>
      <c r="H341" s="1"/>
    </row>
    <row r="342" spans="2:8" ht="14.25" customHeight="1" x14ac:dyDescent="0.25">
      <c r="B342" s="1"/>
      <c r="C342" s="1"/>
      <c r="D342" s="1"/>
      <c r="G342" s="1"/>
      <c r="H342" s="1"/>
    </row>
    <row r="343" spans="2:8" ht="14.25" customHeight="1" x14ac:dyDescent="0.25">
      <c r="B343" s="1"/>
      <c r="C343" s="1"/>
      <c r="D343" s="1"/>
      <c r="G343" s="1"/>
      <c r="H343" s="1"/>
    </row>
    <row r="344" spans="2:8" ht="14.25" customHeight="1" x14ac:dyDescent="0.25">
      <c r="B344" s="1"/>
      <c r="C344" s="1"/>
      <c r="D344" s="1"/>
      <c r="G344" s="1"/>
      <c r="H344" s="1"/>
    </row>
    <row r="345" spans="2:8" ht="14.25" customHeight="1" x14ac:dyDescent="0.25">
      <c r="B345" s="1"/>
      <c r="C345" s="1"/>
      <c r="D345" s="1"/>
      <c r="G345" s="1"/>
      <c r="H345" s="1"/>
    </row>
    <row r="346" spans="2:8" ht="14.25" customHeight="1" x14ac:dyDescent="0.25">
      <c r="B346" s="1"/>
      <c r="C346" s="1"/>
      <c r="D346" s="1"/>
      <c r="G346" s="1"/>
      <c r="H346" s="1"/>
    </row>
    <row r="347" spans="2:8" ht="14.25" customHeight="1" x14ac:dyDescent="0.25">
      <c r="B347" s="1"/>
      <c r="C347" s="1"/>
      <c r="D347" s="1"/>
      <c r="G347" s="1"/>
      <c r="H347" s="1"/>
    </row>
    <row r="348" spans="2:8" ht="14.25" customHeight="1" x14ac:dyDescent="0.25">
      <c r="B348" s="1"/>
      <c r="C348" s="1"/>
      <c r="D348" s="1"/>
      <c r="G348" s="1"/>
      <c r="H348" s="1"/>
    </row>
    <row r="349" spans="2:8" ht="14.25" customHeight="1" x14ac:dyDescent="0.25">
      <c r="B349" s="1"/>
      <c r="C349" s="1"/>
      <c r="D349" s="1"/>
      <c r="G349" s="1"/>
      <c r="H349" s="1"/>
    </row>
    <row r="350" spans="2:8" ht="14.25" customHeight="1" x14ac:dyDescent="0.25">
      <c r="B350" s="1"/>
      <c r="C350" s="1"/>
      <c r="D350" s="1"/>
      <c r="G350" s="1"/>
      <c r="H350" s="1"/>
    </row>
    <row r="351" spans="2:8" ht="14.25" customHeight="1" x14ac:dyDescent="0.25">
      <c r="B351" s="1"/>
      <c r="C351" s="1"/>
      <c r="D351" s="1"/>
      <c r="G351" s="1"/>
      <c r="H351" s="1"/>
    </row>
    <row r="352" spans="2:8" ht="14.25" customHeight="1" x14ac:dyDescent="0.25">
      <c r="B352" s="1"/>
      <c r="C352" s="1"/>
      <c r="D352" s="1"/>
      <c r="G352" s="1"/>
      <c r="H352" s="1"/>
    </row>
    <row r="353" spans="2:8" ht="14.25" customHeight="1" x14ac:dyDescent="0.25">
      <c r="B353" s="1"/>
      <c r="C353" s="1"/>
      <c r="D353" s="1"/>
      <c r="G353" s="1"/>
      <c r="H353" s="1"/>
    </row>
    <row r="354" spans="2:8" ht="14.25" customHeight="1" x14ac:dyDescent="0.25">
      <c r="B354" s="1"/>
      <c r="C354" s="1"/>
      <c r="D354" s="1"/>
      <c r="G354" s="1"/>
      <c r="H354" s="1"/>
    </row>
    <row r="355" spans="2:8" ht="14.25" customHeight="1" x14ac:dyDescent="0.25">
      <c r="B355" s="1"/>
      <c r="C355" s="1"/>
      <c r="D355" s="1"/>
      <c r="G355" s="1"/>
      <c r="H355" s="1"/>
    </row>
    <row r="356" spans="2:8" ht="14.25" customHeight="1" x14ac:dyDescent="0.25">
      <c r="B356" s="1"/>
      <c r="C356" s="1"/>
      <c r="D356" s="1"/>
      <c r="G356" s="1"/>
      <c r="H356" s="1"/>
    </row>
    <row r="357" spans="2:8" ht="14.25" customHeight="1" x14ac:dyDescent="0.25">
      <c r="B357" s="1"/>
      <c r="C357" s="1"/>
      <c r="D357" s="1"/>
      <c r="G357" s="1"/>
      <c r="H357" s="1"/>
    </row>
    <row r="358" spans="2:8" ht="14.25" customHeight="1" x14ac:dyDescent="0.25">
      <c r="B358" s="1"/>
      <c r="C358" s="1"/>
      <c r="D358" s="1"/>
      <c r="G358" s="1"/>
      <c r="H358" s="1"/>
    </row>
    <row r="359" spans="2:8" ht="14.25" customHeight="1" x14ac:dyDescent="0.25">
      <c r="B359" s="1"/>
      <c r="C359" s="1"/>
      <c r="D359" s="1"/>
      <c r="G359" s="1"/>
      <c r="H359" s="1"/>
    </row>
    <row r="360" spans="2:8" ht="14.25" customHeight="1" x14ac:dyDescent="0.25">
      <c r="B360" s="1"/>
      <c r="C360" s="1"/>
      <c r="D360" s="1"/>
      <c r="G360" s="1"/>
      <c r="H360" s="1"/>
    </row>
    <row r="361" spans="2:8" ht="14.25" customHeight="1" x14ac:dyDescent="0.25">
      <c r="B361" s="1"/>
      <c r="C361" s="1"/>
      <c r="D361" s="1"/>
      <c r="G361" s="1"/>
      <c r="H361" s="1"/>
    </row>
    <row r="362" spans="2:8" ht="14.25" customHeight="1" x14ac:dyDescent="0.25">
      <c r="B362" s="1"/>
      <c r="C362" s="1"/>
      <c r="D362" s="1"/>
      <c r="G362" s="1"/>
      <c r="H362" s="1"/>
    </row>
    <row r="363" spans="2:8" ht="14.25" customHeight="1" x14ac:dyDescent="0.25">
      <c r="B363" s="1"/>
      <c r="C363" s="1"/>
      <c r="D363" s="1"/>
      <c r="G363" s="1"/>
      <c r="H363" s="1"/>
    </row>
    <row r="364" spans="2:8" ht="14.25" customHeight="1" x14ac:dyDescent="0.25">
      <c r="B364" s="1"/>
      <c r="C364" s="1"/>
      <c r="D364" s="1"/>
      <c r="G364" s="1"/>
      <c r="H364" s="1"/>
    </row>
    <row r="365" spans="2:8" ht="14.25" customHeight="1" x14ac:dyDescent="0.25">
      <c r="B365" s="1"/>
      <c r="C365" s="1"/>
      <c r="D365" s="1"/>
      <c r="G365" s="1"/>
      <c r="H365" s="1"/>
    </row>
    <row r="366" spans="2:8" ht="14.25" customHeight="1" x14ac:dyDescent="0.25">
      <c r="B366" s="1"/>
      <c r="C366" s="1"/>
      <c r="D366" s="1"/>
      <c r="G366" s="1"/>
      <c r="H366" s="1"/>
    </row>
    <row r="367" spans="2:8" ht="14.25" customHeight="1" x14ac:dyDescent="0.25">
      <c r="B367" s="1"/>
      <c r="C367" s="1"/>
      <c r="D367" s="1"/>
      <c r="G367" s="1"/>
      <c r="H367" s="1"/>
    </row>
    <row r="368" spans="2:8" ht="14.25" customHeight="1" x14ac:dyDescent="0.25">
      <c r="B368" s="1"/>
      <c r="C368" s="1"/>
      <c r="D368" s="1"/>
      <c r="G368" s="1"/>
      <c r="H368" s="1"/>
    </row>
    <row r="369" spans="2:8" ht="14.25" customHeight="1" x14ac:dyDescent="0.25">
      <c r="B369" s="1"/>
      <c r="C369" s="1"/>
      <c r="D369" s="1"/>
      <c r="G369" s="1"/>
      <c r="H369" s="1"/>
    </row>
    <row r="370" spans="2:8" ht="14.25" customHeight="1" x14ac:dyDescent="0.25">
      <c r="B370" s="1"/>
      <c r="C370" s="1"/>
      <c r="D370" s="1"/>
      <c r="G370" s="1"/>
      <c r="H370" s="1"/>
    </row>
    <row r="371" spans="2:8" ht="14.25" customHeight="1" x14ac:dyDescent="0.25">
      <c r="B371" s="1"/>
      <c r="C371" s="1"/>
      <c r="D371" s="1"/>
      <c r="G371" s="1"/>
      <c r="H371" s="1"/>
    </row>
    <row r="372" spans="2:8" ht="14.25" customHeight="1" x14ac:dyDescent="0.25">
      <c r="B372" s="1"/>
      <c r="C372" s="1"/>
      <c r="D372" s="1"/>
      <c r="G372" s="1"/>
      <c r="H372" s="1"/>
    </row>
    <row r="373" spans="2:8" ht="14.25" customHeight="1" x14ac:dyDescent="0.25">
      <c r="B373" s="1"/>
      <c r="C373" s="1"/>
      <c r="D373" s="1"/>
      <c r="G373" s="1"/>
      <c r="H373" s="1"/>
    </row>
    <row r="374" spans="2:8" ht="14.25" customHeight="1" x14ac:dyDescent="0.25">
      <c r="B374" s="1"/>
      <c r="C374" s="1"/>
      <c r="D374" s="1"/>
      <c r="G374" s="1"/>
      <c r="H374" s="1"/>
    </row>
    <row r="375" spans="2:8" ht="14.25" customHeight="1" x14ac:dyDescent="0.25">
      <c r="B375" s="1"/>
      <c r="C375" s="1"/>
      <c r="D375" s="1"/>
      <c r="G375" s="1"/>
      <c r="H375" s="1"/>
    </row>
    <row r="376" spans="2:8" ht="14.25" customHeight="1" x14ac:dyDescent="0.25">
      <c r="B376" s="1"/>
      <c r="C376" s="1"/>
      <c r="D376" s="1"/>
      <c r="G376" s="1"/>
      <c r="H376" s="1"/>
    </row>
    <row r="377" spans="2:8" ht="14.25" customHeight="1" x14ac:dyDescent="0.25">
      <c r="B377" s="1"/>
      <c r="C377" s="1"/>
      <c r="D377" s="1"/>
      <c r="G377" s="1"/>
      <c r="H377" s="1"/>
    </row>
    <row r="378" spans="2:8" ht="14.25" customHeight="1" x14ac:dyDescent="0.25">
      <c r="B378" s="1"/>
      <c r="C378" s="1"/>
      <c r="D378" s="1"/>
      <c r="G378" s="1"/>
      <c r="H378" s="1"/>
    </row>
    <row r="379" spans="2:8" ht="14.25" customHeight="1" x14ac:dyDescent="0.25">
      <c r="B379" s="1"/>
      <c r="C379" s="1"/>
      <c r="D379" s="1"/>
      <c r="G379" s="1"/>
      <c r="H379" s="1"/>
    </row>
    <row r="380" spans="2:8" ht="14.25" customHeight="1" x14ac:dyDescent="0.25">
      <c r="B380" s="1"/>
      <c r="C380" s="1"/>
      <c r="D380" s="1"/>
      <c r="G380" s="1"/>
      <c r="H380" s="1"/>
    </row>
    <row r="381" spans="2:8" ht="14.25" customHeight="1" x14ac:dyDescent="0.25">
      <c r="B381" s="1"/>
      <c r="C381" s="1"/>
      <c r="D381" s="1"/>
      <c r="G381" s="1"/>
      <c r="H381" s="1"/>
    </row>
    <row r="382" spans="2:8" ht="14.25" customHeight="1" x14ac:dyDescent="0.25">
      <c r="B382" s="1"/>
      <c r="C382" s="1"/>
      <c r="D382" s="1"/>
      <c r="G382" s="1"/>
      <c r="H382" s="1"/>
    </row>
    <row r="383" spans="2:8" ht="14.25" customHeight="1" x14ac:dyDescent="0.25">
      <c r="B383" s="1"/>
      <c r="C383" s="1"/>
      <c r="D383" s="1"/>
      <c r="G383" s="1"/>
      <c r="H383" s="1"/>
    </row>
    <row r="384" spans="2:8" ht="14.25" customHeight="1" x14ac:dyDescent="0.25">
      <c r="B384" s="1"/>
      <c r="C384" s="1"/>
      <c r="D384" s="1"/>
      <c r="G384" s="1"/>
      <c r="H384" s="1"/>
    </row>
    <row r="385" spans="2:8" ht="14.25" customHeight="1" x14ac:dyDescent="0.25">
      <c r="B385" s="1"/>
      <c r="C385" s="1"/>
      <c r="D385" s="1"/>
      <c r="G385" s="1"/>
      <c r="H385" s="1"/>
    </row>
    <row r="386" spans="2:8" ht="14.25" customHeight="1" x14ac:dyDescent="0.25">
      <c r="B386" s="1"/>
      <c r="C386" s="1"/>
      <c r="D386" s="1"/>
      <c r="G386" s="1"/>
      <c r="H386" s="1"/>
    </row>
    <row r="387" spans="2:8" ht="14.25" customHeight="1" x14ac:dyDescent="0.25">
      <c r="B387" s="1"/>
      <c r="C387" s="1"/>
      <c r="D387" s="1"/>
      <c r="G387" s="1"/>
      <c r="H387" s="1"/>
    </row>
    <row r="388" spans="2:8" ht="14.25" customHeight="1" x14ac:dyDescent="0.25">
      <c r="B388" s="1"/>
      <c r="C388" s="1"/>
      <c r="D388" s="1"/>
      <c r="G388" s="1"/>
      <c r="H388" s="1"/>
    </row>
    <row r="389" spans="2:8" ht="14.25" customHeight="1" x14ac:dyDescent="0.25">
      <c r="B389" s="1"/>
      <c r="C389" s="1"/>
      <c r="D389" s="1"/>
      <c r="G389" s="1"/>
      <c r="H389" s="1"/>
    </row>
    <row r="390" spans="2:8" ht="14.25" customHeight="1" x14ac:dyDescent="0.25">
      <c r="B390" s="1"/>
      <c r="C390" s="1"/>
      <c r="D390" s="1"/>
      <c r="G390" s="1"/>
      <c r="H390" s="1"/>
    </row>
    <row r="391" spans="2:8" ht="14.25" customHeight="1" x14ac:dyDescent="0.25">
      <c r="B391" s="1"/>
      <c r="C391" s="1"/>
      <c r="D391" s="1"/>
      <c r="G391" s="1"/>
      <c r="H391" s="1"/>
    </row>
    <row r="392" spans="2:8" ht="14.25" customHeight="1" x14ac:dyDescent="0.25">
      <c r="B392" s="1"/>
      <c r="C392" s="1"/>
      <c r="D392" s="1"/>
      <c r="G392" s="1"/>
      <c r="H392" s="1"/>
    </row>
    <row r="393" spans="2:8" ht="14.25" customHeight="1" x14ac:dyDescent="0.25">
      <c r="B393" s="1"/>
      <c r="C393" s="1"/>
      <c r="D393" s="1"/>
      <c r="G393" s="1"/>
      <c r="H393" s="1"/>
    </row>
    <row r="394" spans="2:8" ht="14.25" customHeight="1" x14ac:dyDescent="0.25">
      <c r="B394" s="1"/>
      <c r="C394" s="1"/>
      <c r="D394" s="1"/>
      <c r="G394" s="1"/>
      <c r="H394" s="1"/>
    </row>
    <row r="395" spans="2:8" ht="14.25" customHeight="1" x14ac:dyDescent="0.25">
      <c r="B395" s="1"/>
      <c r="C395" s="1"/>
      <c r="D395" s="1"/>
      <c r="G395" s="1"/>
      <c r="H395" s="1"/>
    </row>
    <row r="396" spans="2:8" ht="14.25" customHeight="1" x14ac:dyDescent="0.25">
      <c r="B396" s="1"/>
      <c r="C396" s="1"/>
      <c r="D396" s="1"/>
      <c r="G396" s="1"/>
      <c r="H396" s="1"/>
    </row>
    <row r="397" spans="2:8" ht="14.25" customHeight="1" x14ac:dyDescent="0.25">
      <c r="B397" s="1"/>
      <c r="C397" s="1"/>
      <c r="D397" s="1"/>
      <c r="G397" s="1"/>
      <c r="H397" s="1"/>
    </row>
    <row r="398" spans="2:8" ht="14.25" customHeight="1" x14ac:dyDescent="0.25">
      <c r="B398" s="1"/>
      <c r="C398" s="1"/>
      <c r="D398" s="1"/>
      <c r="G398" s="1"/>
      <c r="H398" s="1"/>
    </row>
    <row r="399" spans="2:8" ht="14.25" customHeight="1" x14ac:dyDescent="0.25">
      <c r="B399" s="1"/>
      <c r="C399" s="1"/>
      <c r="D399" s="1"/>
      <c r="G399" s="1"/>
      <c r="H399" s="1"/>
    </row>
    <row r="400" spans="2:8" ht="14.25" customHeight="1" x14ac:dyDescent="0.25">
      <c r="B400" s="1"/>
      <c r="C400" s="1"/>
      <c r="D400" s="1"/>
      <c r="G400" s="1"/>
      <c r="H400" s="1"/>
    </row>
    <row r="401" spans="2:8" ht="14.25" customHeight="1" x14ac:dyDescent="0.25">
      <c r="B401" s="1"/>
      <c r="C401" s="1"/>
      <c r="D401" s="1"/>
      <c r="G401" s="1"/>
      <c r="H401" s="1"/>
    </row>
    <row r="402" spans="2:8" ht="14.25" customHeight="1" x14ac:dyDescent="0.25">
      <c r="B402" s="1"/>
      <c r="C402" s="1"/>
      <c r="D402" s="1"/>
      <c r="G402" s="1"/>
      <c r="H402" s="1"/>
    </row>
    <row r="403" spans="2:8" ht="14.25" customHeight="1" x14ac:dyDescent="0.25">
      <c r="B403" s="1"/>
      <c r="C403" s="1"/>
      <c r="D403" s="1"/>
      <c r="G403" s="1"/>
      <c r="H403" s="1"/>
    </row>
    <row r="404" spans="2:8" ht="14.25" customHeight="1" x14ac:dyDescent="0.25">
      <c r="B404" s="1"/>
      <c r="C404" s="1"/>
      <c r="D404" s="1"/>
      <c r="G404" s="1"/>
      <c r="H404" s="1"/>
    </row>
    <row r="405" spans="2:8" ht="14.25" customHeight="1" x14ac:dyDescent="0.25">
      <c r="B405" s="1"/>
      <c r="C405" s="1"/>
      <c r="D405" s="1"/>
      <c r="G405" s="1"/>
      <c r="H405" s="1"/>
    </row>
    <row r="406" spans="2:8" ht="14.25" customHeight="1" x14ac:dyDescent="0.25">
      <c r="B406" s="1"/>
      <c r="C406" s="1"/>
      <c r="D406" s="1"/>
      <c r="G406" s="1"/>
      <c r="H406" s="1"/>
    </row>
    <row r="407" spans="2:8" ht="14.25" customHeight="1" x14ac:dyDescent="0.25">
      <c r="B407" s="1"/>
      <c r="C407" s="1"/>
      <c r="D407" s="1"/>
      <c r="G407" s="1"/>
      <c r="H407" s="1"/>
    </row>
    <row r="408" spans="2:8" ht="14.25" customHeight="1" x14ac:dyDescent="0.25">
      <c r="B408" s="1"/>
      <c r="C408" s="1"/>
      <c r="D408" s="1"/>
      <c r="G408" s="1"/>
      <c r="H408" s="1"/>
    </row>
    <row r="409" spans="2:8" ht="14.25" customHeight="1" x14ac:dyDescent="0.25">
      <c r="B409" s="1"/>
      <c r="C409" s="1"/>
      <c r="D409" s="1"/>
      <c r="G409" s="1"/>
      <c r="H409" s="1"/>
    </row>
    <row r="410" spans="2:8" ht="14.25" customHeight="1" x14ac:dyDescent="0.25">
      <c r="B410" s="1"/>
      <c r="C410" s="1"/>
      <c r="D410" s="1"/>
      <c r="G410" s="1"/>
      <c r="H410" s="1"/>
    </row>
    <row r="411" spans="2:8" ht="14.25" customHeight="1" x14ac:dyDescent="0.25">
      <c r="B411" s="1"/>
      <c r="C411" s="1"/>
      <c r="D411" s="1"/>
      <c r="G411" s="1"/>
      <c r="H411" s="1"/>
    </row>
    <row r="412" spans="2:8" ht="14.25" customHeight="1" x14ac:dyDescent="0.25">
      <c r="B412" s="1"/>
      <c r="C412" s="1"/>
      <c r="D412" s="1"/>
      <c r="G412" s="1"/>
      <c r="H412" s="1"/>
    </row>
    <row r="413" spans="2:8" ht="14.25" customHeight="1" x14ac:dyDescent="0.25">
      <c r="B413" s="1"/>
      <c r="C413" s="1"/>
      <c r="D413" s="1"/>
      <c r="G413" s="1"/>
      <c r="H413" s="1"/>
    </row>
    <row r="414" spans="2:8" ht="14.25" customHeight="1" x14ac:dyDescent="0.25">
      <c r="B414" s="1"/>
      <c r="C414" s="1"/>
      <c r="D414" s="1"/>
      <c r="G414" s="1"/>
      <c r="H414" s="1"/>
    </row>
    <row r="415" spans="2:8" ht="14.25" customHeight="1" x14ac:dyDescent="0.25">
      <c r="B415" s="1"/>
      <c r="C415" s="1"/>
      <c r="D415" s="1"/>
      <c r="G415" s="1"/>
      <c r="H415" s="1"/>
    </row>
    <row r="416" spans="2:8" ht="14.25" customHeight="1" x14ac:dyDescent="0.25">
      <c r="B416" s="1"/>
      <c r="C416" s="1"/>
      <c r="D416" s="1"/>
      <c r="G416" s="1"/>
      <c r="H416" s="1"/>
    </row>
    <row r="417" spans="2:8" ht="14.25" customHeight="1" x14ac:dyDescent="0.25">
      <c r="B417" s="1"/>
      <c r="C417" s="1"/>
      <c r="D417" s="1"/>
      <c r="G417" s="1"/>
      <c r="H417" s="1"/>
    </row>
    <row r="418" spans="2:8" ht="14.25" customHeight="1" x14ac:dyDescent="0.25">
      <c r="B418" s="1"/>
      <c r="C418" s="1"/>
      <c r="D418" s="1"/>
      <c r="G418" s="1"/>
      <c r="H418" s="1"/>
    </row>
    <row r="419" spans="2:8" ht="14.25" customHeight="1" x14ac:dyDescent="0.25">
      <c r="B419" s="1"/>
      <c r="C419" s="1"/>
      <c r="D419" s="1"/>
      <c r="G419" s="1"/>
      <c r="H419" s="1"/>
    </row>
    <row r="420" spans="2:8" ht="14.25" customHeight="1" x14ac:dyDescent="0.25">
      <c r="B420" s="1"/>
      <c r="C420" s="1"/>
      <c r="D420" s="1"/>
      <c r="G420" s="1"/>
      <c r="H420" s="1"/>
    </row>
    <row r="421" spans="2:8" ht="14.25" customHeight="1" x14ac:dyDescent="0.25">
      <c r="B421" s="1"/>
      <c r="C421" s="1"/>
      <c r="D421" s="1"/>
      <c r="G421" s="1"/>
      <c r="H421" s="1"/>
    </row>
    <row r="422" spans="2:8" ht="14.25" customHeight="1" x14ac:dyDescent="0.25">
      <c r="B422" s="1"/>
      <c r="C422" s="1"/>
      <c r="D422" s="1"/>
      <c r="G422" s="1"/>
      <c r="H422" s="1"/>
    </row>
    <row r="423" spans="2:8" ht="14.25" customHeight="1" x14ac:dyDescent="0.25">
      <c r="B423" s="1"/>
      <c r="C423" s="1"/>
      <c r="D423" s="1"/>
      <c r="G423" s="1"/>
      <c r="H423" s="1"/>
    </row>
    <row r="424" spans="2:8" ht="14.25" customHeight="1" x14ac:dyDescent="0.25">
      <c r="B424" s="1"/>
      <c r="C424" s="1"/>
      <c r="D424" s="1"/>
      <c r="G424" s="1"/>
      <c r="H424" s="1"/>
    </row>
    <row r="425" spans="2:8" ht="14.25" customHeight="1" x14ac:dyDescent="0.25">
      <c r="B425" s="1"/>
      <c r="C425" s="1"/>
      <c r="D425" s="1"/>
      <c r="G425" s="1"/>
      <c r="H425" s="1"/>
    </row>
    <row r="426" spans="2:8" ht="14.25" customHeight="1" x14ac:dyDescent="0.25">
      <c r="B426" s="1"/>
      <c r="C426" s="1"/>
      <c r="D426" s="1"/>
      <c r="G426" s="1"/>
      <c r="H426" s="1"/>
    </row>
    <row r="427" spans="2:8" ht="14.25" customHeight="1" x14ac:dyDescent="0.25">
      <c r="B427" s="1"/>
      <c r="C427" s="1"/>
      <c r="D427" s="1"/>
      <c r="G427" s="1"/>
      <c r="H427" s="1"/>
    </row>
    <row r="428" spans="2:8" ht="14.25" customHeight="1" x14ac:dyDescent="0.25">
      <c r="B428" s="1"/>
      <c r="C428" s="1"/>
      <c r="D428" s="1"/>
      <c r="G428" s="1"/>
      <c r="H428" s="1"/>
    </row>
    <row r="429" spans="2:8" ht="14.25" customHeight="1" x14ac:dyDescent="0.25">
      <c r="B429" s="1"/>
      <c r="C429" s="1"/>
      <c r="D429" s="1"/>
      <c r="G429" s="1"/>
      <c r="H429" s="1"/>
    </row>
    <row r="430" spans="2:8" ht="14.25" customHeight="1" x14ac:dyDescent="0.25">
      <c r="B430" s="1"/>
      <c r="C430" s="1"/>
      <c r="D430" s="1"/>
      <c r="G430" s="1"/>
      <c r="H430" s="1"/>
    </row>
    <row r="431" spans="2:8" ht="14.25" customHeight="1" x14ac:dyDescent="0.25">
      <c r="B431" s="1"/>
      <c r="C431" s="1"/>
      <c r="D431" s="1"/>
      <c r="G431" s="1"/>
      <c r="H431" s="1"/>
    </row>
    <row r="432" spans="2:8" ht="14.25" customHeight="1" x14ac:dyDescent="0.25">
      <c r="B432" s="1"/>
      <c r="C432" s="1"/>
      <c r="D432" s="1"/>
      <c r="G432" s="1"/>
      <c r="H432" s="1"/>
    </row>
    <row r="433" spans="2:8" ht="14.25" customHeight="1" x14ac:dyDescent="0.25">
      <c r="B433" s="1"/>
      <c r="C433" s="1"/>
      <c r="D433" s="1"/>
      <c r="G433" s="1"/>
      <c r="H433" s="1"/>
    </row>
    <row r="434" spans="2:8" ht="14.25" customHeight="1" x14ac:dyDescent="0.25">
      <c r="B434" s="1"/>
      <c r="C434" s="1"/>
      <c r="D434" s="1"/>
      <c r="G434" s="1"/>
      <c r="H434" s="1"/>
    </row>
    <row r="435" spans="2:8" ht="14.25" customHeight="1" x14ac:dyDescent="0.25">
      <c r="B435" s="1"/>
      <c r="C435" s="1"/>
      <c r="D435" s="1"/>
      <c r="G435" s="1"/>
      <c r="H435" s="1"/>
    </row>
    <row r="436" spans="2:8" ht="14.25" customHeight="1" x14ac:dyDescent="0.25">
      <c r="B436" s="1"/>
      <c r="C436" s="1"/>
      <c r="D436" s="1"/>
      <c r="G436" s="1"/>
      <c r="H436" s="1"/>
    </row>
    <row r="437" spans="2:8" ht="14.25" customHeight="1" x14ac:dyDescent="0.25">
      <c r="B437" s="1"/>
      <c r="C437" s="1"/>
      <c r="D437" s="1"/>
      <c r="G437" s="1"/>
      <c r="H437" s="1"/>
    </row>
    <row r="438" spans="2:8" ht="14.25" customHeight="1" x14ac:dyDescent="0.25">
      <c r="B438" s="1"/>
      <c r="C438" s="1"/>
      <c r="D438" s="1"/>
      <c r="G438" s="1"/>
      <c r="H438" s="1"/>
    </row>
    <row r="439" spans="2:8" ht="14.25" customHeight="1" x14ac:dyDescent="0.25">
      <c r="B439" s="1"/>
      <c r="C439" s="1"/>
      <c r="D439" s="1"/>
      <c r="G439" s="1"/>
      <c r="H439" s="1"/>
    </row>
    <row r="440" spans="2:8" ht="14.25" customHeight="1" x14ac:dyDescent="0.25">
      <c r="B440" s="1"/>
      <c r="C440" s="1"/>
      <c r="D440" s="1"/>
      <c r="G440" s="1"/>
      <c r="H440" s="1"/>
    </row>
    <row r="441" spans="2:8" ht="14.25" customHeight="1" x14ac:dyDescent="0.25">
      <c r="B441" s="1"/>
      <c r="C441" s="1"/>
      <c r="D441" s="1"/>
      <c r="G441" s="1"/>
      <c r="H441" s="1"/>
    </row>
    <row r="442" spans="2:8" ht="14.25" customHeight="1" x14ac:dyDescent="0.25">
      <c r="B442" s="1"/>
      <c r="C442" s="1"/>
      <c r="D442" s="1"/>
      <c r="G442" s="1"/>
      <c r="H442" s="1"/>
    </row>
    <row r="443" spans="2:8" ht="14.25" customHeight="1" x14ac:dyDescent="0.25">
      <c r="B443" s="1"/>
      <c r="C443" s="1"/>
      <c r="D443" s="1"/>
      <c r="G443" s="1"/>
      <c r="H443" s="1"/>
    </row>
    <row r="444" spans="2:8" ht="14.25" customHeight="1" x14ac:dyDescent="0.25">
      <c r="B444" s="1"/>
      <c r="C444" s="1"/>
      <c r="D444" s="1"/>
      <c r="G444" s="1"/>
      <c r="H444" s="1"/>
    </row>
    <row r="445" spans="2:8" ht="14.25" customHeight="1" x14ac:dyDescent="0.25">
      <c r="B445" s="1"/>
      <c r="C445" s="1"/>
      <c r="D445" s="1"/>
      <c r="G445" s="1"/>
      <c r="H445" s="1"/>
    </row>
    <row r="446" spans="2:8" ht="14.25" customHeight="1" x14ac:dyDescent="0.25">
      <c r="B446" s="1"/>
      <c r="C446" s="1"/>
      <c r="D446" s="1"/>
      <c r="G446" s="1"/>
      <c r="H446" s="1"/>
    </row>
    <row r="447" spans="2:8" ht="14.25" customHeight="1" x14ac:dyDescent="0.25">
      <c r="B447" s="1"/>
      <c r="C447" s="1"/>
      <c r="D447" s="1"/>
      <c r="G447" s="1"/>
      <c r="H447" s="1"/>
    </row>
    <row r="448" spans="2:8" ht="14.25" customHeight="1" x14ac:dyDescent="0.25">
      <c r="B448" s="1"/>
      <c r="C448" s="1"/>
      <c r="D448" s="1"/>
      <c r="G448" s="1"/>
      <c r="H448" s="1"/>
    </row>
    <row r="449" spans="2:8" ht="14.25" customHeight="1" x14ac:dyDescent="0.25">
      <c r="B449" s="1"/>
      <c r="C449" s="1"/>
      <c r="D449" s="1"/>
      <c r="G449" s="1"/>
      <c r="H449" s="1"/>
    </row>
    <row r="450" spans="2:8" ht="14.25" customHeight="1" x14ac:dyDescent="0.25">
      <c r="B450" s="1"/>
      <c r="C450" s="1"/>
      <c r="D450" s="1"/>
      <c r="G450" s="1"/>
      <c r="H450" s="1"/>
    </row>
    <row r="451" spans="2:8" ht="14.25" customHeight="1" x14ac:dyDescent="0.25">
      <c r="B451" s="1"/>
      <c r="C451" s="1"/>
      <c r="D451" s="1"/>
      <c r="G451" s="1"/>
      <c r="H451" s="1"/>
    </row>
    <row r="452" spans="2:8" ht="14.25" customHeight="1" x14ac:dyDescent="0.25">
      <c r="B452" s="1"/>
      <c r="C452" s="1"/>
      <c r="D452" s="1"/>
      <c r="G452" s="1"/>
      <c r="H452" s="1"/>
    </row>
    <row r="453" spans="2:8" ht="14.25" customHeight="1" x14ac:dyDescent="0.25">
      <c r="B453" s="1"/>
      <c r="C453" s="1"/>
      <c r="D453" s="1"/>
      <c r="G453" s="1"/>
      <c r="H453" s="1"/>
    </row>
    <row r="454" spans="2:8" ht="14.25" customHeight="1" x14ac:dyDescent="0.25">
      <c r="B454" s="1"/>
      <c r="C454" s="1"/>
      <c r="D454" s="1"/>
      <c r="G454" s="1"/>
      <c r="H454" s="1"/>
    </row>
    <row r="455" spans="2:8" ht="14.25" customHeight="1" x14ac:dyDescent="0.25">
      <c r="B455" s="1"/>
      <c r="C455" s="1"/>
      <c r="D455" s="1"/>
      <c r="G455" s="1"/>
      <c r="H455" s="1"/>
    </row>
    <row r="456" spans="2:8" ht="14.25" customHeight="1" x14ac:dyDescent="0.25">
      <c r="B456" s="1"/>
      <c r="C456" s="1"/>
      <c r="D456" s="1"/>
      <c r="G456" s="1"/>
      <c r="H456" s="1"/>
    </row>
    <row r="457" spans="2:8" ht="14.25" customHeight="1" x14ac:dyDescent="0.25">
      <c r="B457" s="1"/>
      <c r="C457" s="1"/>
      <c r="D457" s="1"/>
      <c r="G457" s="1"/>
      <c r="H457" s="1"/>
    </row>
    <row r="458" spans="2:8" ht="14.25" customHeight="1" x14ac:dyDescent="0.25">
      <c r="B458" s="1"/>
      <c r="C458" s="1"/>
      <c r="D458" s="1"/>
      <c r="G458" s="1"/>
      <c r="H458" s="1"/>
    </row>
    <row r="459" spans="2:8" ht="14.25" customHeight="1" x14ac:dyDescent="0.25">
      <c r="B459" s="1"/>
      <c r="C459" s="1"/>
      <c r="D459" s="1"/>
      <c r="G459" s="1"/>
      <c r="H459" s="1"/>
    </row>
    <row r="460" spans="2:8" ht="14.25" customHeight="1" x14ac:dyDescent="0.25">
      <c r="B460" s="1"/>
      <c r="C460" s="1"/>
      <c r="D460" s="1"/>
      <c r="G460" s="1"/>
      <c r="H460" s="1"/>
    </row>
    <row r="461" spans="2:8" ht="14.25" customHeight="1" x14ac:dyDescent="0.25">
      <c r="B461" s="1"/>
      <c r="C461" s="1"/>
      <c r="D461" s="1"/>
      <c r="G461" s="1"/>
      <c r="H461" s="1"/>
    </row>
    <row r="462" spans="2:8" ht="14.25" customHeight="1" x14ac:dyDescent="0.25">
      <c r="B462" s="1"/>
      <c r="C462" s="1"/>
      <c r="D462" s="1"/>
      <c r="G462" s="1"/>
      <c r="H462" s="1"/>
    </row>
    <row r="463" spans="2:8" ht="14.25" customHeight="1" x14ac:dyDescent="0.25">
      <c r="B463" s="1"/>
      <c r="C463" s="1"/>
      <c r="D463" s="1"/>
      <c r="G463" s="1"/>
      <c r="H463" s="1"/>
    </row>
    <row r="464" spans="2:8" ht="14.25" customHeight="1" x14ac:dyDescent="0.25">
      <c r="B464" s="1"/>
      <c r="C464" s="1"/>
      <c r="D464" s="1"/>
      <c r="G464" s="1"/>
      <c r="H464" s="1"/>
    </row>
    <row r="465" spans="2:8" ht="14.25" customHeight="1" x14ac:dyDescent="0.25">
      <c r="B465" s="1"/>
      <c r="C465" s="1"/>
      <c r="D465" s="1"/>
      <c r="G465" s="1"/>
      <c r="H465" s="1"/>
    </row>
    <row r="466" spans="2:8" ht="14.25" customHeight="1" x14ac:dyDescent="0.25">
      <c r="B466" s="1"/>
      <c r="C466" s="1"/>
      <c r="D466" s="1"/>
      <c r="G466" s="1"/>
      <c r="H466" s="1"/>
    </row>
    <row r="467" spans="2:8" ht="14.25" customHeight="1" x14ac:dyDescent="0.25">
      <c r="B467" s="1"/>
      <c r="C467" s="1"/>
      <c r="D467" s="1"/>
      <c r="G467" s="1"/>
      <c r="H467" s="1"/>
    </row>
    <row r="468" spans="2:8" ht="14.25" customHeight="1" x14ac:dyDescent="0.25">
      <c r="B468" s="1"/>
      <c r="C468" s="1"/>
      <c r="D468" s="1"/>
      <c r="G468" s="1"/>
      <c r="H468" s="1"/>
    </row>
    <row r="469" spans="2:8" ht="14.25" customHeight="1" x14ac:dyDescent="0.25">
      <c r="B469" s="1"/>
      <c r="C469" s="1"/>
      <c r="D469" s="1"/>
      <c r="G469" s="1"/>
      <c r="H469" s="1"/>
    </row>
    <row r="470" spans="2:8" ht="14.25" customHeight="1" x14ac:dyDescent="0.25">
      <c r="B470" s="1"/>
      <c r="C470" s="1"/>
      <c r="D470" s="1"/>
      <c r="G470" s="1"/>
      <c r="H470" s="1"/>
    </row>
    <row r="471" spans="2:8" ht="14.25" customHeight="1" x14ac:dyDescent="0.25">
      <c r="B471" s="1"/>
      <c r="C471" s="1"/>
      <c r="D471" s="1"/>
      <c r="G471" s="1"/>
      <c r="H471" s="1"/>
    </row>
    <row r="472" spans="2:8" ht="14.25" customHeight="1" x14ac:dyDescent="0.25">
      <c r="B472" s="1"/>
      <c r="C472" s="1"/>
      <c r="D472" s="1"/>
      <c r="G472" s="1"/>
      <c r="H472" s="1"/>
    </row>
    <row r="473" spans="2:8" ht="14.25" customHeight="1" x14ac:dyDescent="0.25">
      <c r="B473" s="1"/>
      <c r="C473" s="1"/>
      <c r="D473" s="1"/>
      <c r="G473" s="1"/>
      <c r="H473" s="1"/>
    </row>
    <row r="474" spans="2:8" ht="14.25" customHeight="1" x14ac:dyDescent="0.25">
      <c r="B474" s="1"/>
      <c r="C474" s="1"/>
      <c r="D474" s="1"/>
      <c r="G474" s="1"/>
      <c r="H474" s="1"/>
    </row>
    <row r="475" spans="2:8" ht="14.25" customHeight="1" x14ac:dyDescent="0.25">
      <c r="B475" s="1"/>
      <c r="C475" s="1"/>
      <c r="D475" s="1"/>
      <c r="G475" s="1"/>
      <c r="H475" s="1"/>
    </row>
    <row r="476" spans="2:8" ht="14.25" customHeight="1" x14ac:dyDescent="0.25">
      <c r="B476" s="1"/>
      <c r="C476" s="1"/>
      <c r="D476" s="1"/>
      <c r="G476" s="1"/>
      <c r="H476" s="1"/>
    </row>
    <row r="477" spans="2:8" ht="14.25" customHeight="1" x14ac:dyDescent="0.25">
      <c r="B477" s="1"/>
      <c r="C477" s="1"/>
      <c r="D477" s="1"/>
      <c r="G477" s="1"/>
      <c r="H477" s="1"/>
    </row>
    <row r="478" spans="2:8" ht="14.25" customHeight="1" x14ac:dyDescent="0.25">
      <c r="B478" s="1"/>
      <c r="C478" s="1"/>
      <c r="D478" s="1"/>
      <c r="G478" s="1"/>
      <c r="H478" s="1"/>
    </row>
    <row r="479" spans="2:8" ht="14.25" customHeight="1" x14ac:dyDescent="0.25">
      <c r="B479" s="1"/>
      <c r="C479" s="1"/>
      <c r="D479" s="1"/>
      <c r="G479" s="1"/>
      <c r="H479" s="1"/>
    </row>
    <row r="480" spans="2:8" ht="14.25" customHeight="1" x14ac:dyDescent="0.25">
      <c r="B480" s="1"/>
      <c r="C480" s="1"/>
      <c r="D480" s="1"/>
      <c r="G480" s="1"/>
      <c r="H480" s="1"/>
    </row>
    <row r="481" spans="2:8" ht="14.25" customHeight="1" x14ac:dyDescent="0.25">
      <c r="B481" s="1"/>
      <c r="C481" s="1"/>
      <c r="D481" s="1"/>
      <c r="G481" s="1"/>
      <c r="H481" s="1"/>
    </row>
    <row r="482" spans="2:8" ht="14.25" customHeight="1" x14ac:dyDescent="0.25">
      <c r="B482" s="1"/>
      <c r="C482" s="1"/>
      <c r="D482" s="1"/>
      <c r="G482" s="1"/>
      <c r="H482" s="1"/>
    </row>
    <row r="483" spans="2:8" ht="14.25" customHeight="1" x14ac:dyDescent="0.25">
      <c r="B483" s="1"/>
      <c r="C483" s="1"/>
      <c r="D483" s="1"/>
      <c r="G483" s="1"/>
      <c r="H483" s="1"/>
    </row>
    <row r="484" spans="2:8" ht="14.25" customHeight="1" x14ac:dyDescent="0.25">
      <c r="B484" s="1"/>
      <c r="C484" s="1"/>
      <c r="D484" s="1"/>
      <c r="G484" s="1"/>
      <c r="H484" s="1"/>
    </row>
    <row r="485" spans="2:8" ht="14.25" customHeight="1" x14ac:dyDescent="0.25">
      <c r="B485" s="1"/>
      <c r="C485" s="1"/>
      <c r="D485" s="1"/>
      <c r="G485" s="1"/>
      <c r="H485" s="1"/>
    </row>
    <row r="486" spans="2:8" ht="14.25" customHeight="1" x14ac:dyDescent="0.25">
      <c r="B486" s="1"/>
      <c r="C486" s="1"/>
      <c r="D486" s="1"/>
      <c r="G486" s="1"/>
      <c r="H486" s="1"/>
    </row>
    <row r="487" spans="2:8" ht="14.25" customHeight="1" x14ac:dyDescent="0.25">
      <c r="B487" s="1"/>
      <c r="C487" s="1"/>
      <c r="D487" s="1"/>
      <c r="G487" s="1"/>
      <c r="H487" s="1"/>
    </row>
    <row r="488" spans="2:8" ht="14.25" customHeight="1" x14ac:dyDescent="0.25">
      <c r="B488" s="1"/>
      <c r="C488" s="1"/>
      <c r="D488" s="1"/>
      <c r="G488" s="1"/>
      <c r="H488" s="1"/>
    </row>
    <row r="489" spans="2:8" ht="14.25" customHeight="1" x14ac:dyDescent="0.25">
      <c r="B489" s="1"/>
      <c r="C489" s="1"/>
      <c r="D489" s="1"/>
      <c r="G489" s="1"/>
      <c r="H489" s="1"/>
    </row>
    <row r="490" spans="2:8" ht="14.25" customHeight="1" x14ac:dyDescent="0.25">
      <c r="B490" s="1"/>
      <c r="C490" s="1"/>
      <c r="D490" s="1"/>
      <c r="G490" s="1"/>
      <c r="H490" s="1"/>
    </row>
    <row r="491" spans="2:8" ht="14.25" customHeight="1" x14ac:dyDescent="0.25">
      <c r="B491" s="1"/>
      <c r="C491" s="1"/>
      <c r="D491" s="1"/>
      <c r="G491" s="1"/>
      <c r="H491" s="1"/>
    </row>
    <row r="492" spans="2:8" ht="14.25" customHeight="1" x14ac:dyDescent="0.25">
      <c r="B492" s="1"/>
      <c r="C492" s="1"/>
      <c r="D492" s="1"/>
      <c r="G492" s="1"/>
      <c r="H492" s="1"/>
    </row>
    <row r="493" spans="2:8" ht="14.25" customHeight="1" x14ac:dyDescent="0.25">
      <c r="B493" s="1"/>
      <c r="C493" s="1"/>
      <c r="D493" s="1"/>
      <c r="G493" s="1"/>
      <c r="H493" s="1"/>
    </row>
    <row r="494" spans="2:8" ht="14.25" customHeight="1" x14ac:dyDescent="0.25">
      <c r="B494" s="1"/>
      <c r="C494" s="1"/>
      <c r="D494" s="1"/>
      <c r="G494" s="1"/>
      <c r="H494" s="1"/>
    </row>
    <row r="495" spans="2:8" ht="14.25" customHeight="1" x14ac:dyDescent="0.25">
      <c r="B495" s="1"/>
      <c r="C495" s="1"/>
      <c r="D495" s="1"/>
      <c r="G495" s="1"/>
      <c r="H495" s="1"/>
    </row>
    <row r="496" spans="2:8" ht="14.25" customHeight="1" x14ac:dyDescent="0.25">
      <c r="B496" s="1"/>
      <c r="C496" s="1"/>
      <c r="D496" s="1"/>
      <c r="G496" s="1"/>
      <c r="H496" s="1"/>
    </row>
    <row r="497" spans="2:8" ht="14.25" customHeight="1" x14ac:dyDescent="0.25">
      <c r="B497" s="1"/>
      <c r="C497" s="1"/>
      <c r="D497" s="1"/>
      <c r="G497" s="1"/>
      <c r="H497" s="1"/>
    </row>
    <row r="498" spans="2:8" ht="14.25" customHeight="1" x14ac:dyDescent="0.25">
      <c r="B498" s="1"/>
      <c r="C498" s="1"/>
      <c r="D498" s="1"/>
      <c r="G498" s="1"/>
      <c r="H498" s="1"/>
    </row>
    <row r="499" spans="2:8" ht="14.25" customHeight="1" x14ac:dyDescent="0.25">
      <c r="B499" s="1"/>
      <c r="C499" s="1"/>
      <c r="D499" s="1"/>
      <c r="G499" s="1"/>
      <c r="H499" s="1"/>
    </row>
    <row r="500" spans="2:8" ht="14.25" customHeight="1" x14ac:dyDescent="0.25">
      <c r="B500" s="1"/>
      <c r="C500" s="1"/>
      <c r="D500" s="1"/>
      <c r="G500" s="1"/>
      <c r="H500" s="1"/>
    </row>
    <row r="501" spans="2:8" ht="14.25" customHeight="1" x14ac:dyDescent="0.25">
      <c r="B501" s="1"/>
      <c r="C501" s="1"/>
      <c r="D501" s="1"/>
      <c r="G501" s="1"/>
      <c r="H501" s="1"/>
    </row>
    <row r="502" spans="2:8" ht="14.25" customHeight="1" x14ac:dyDescent="0.25">
      <c r="B502" s="1"/>
      <c r="C502" s="1"/>
      <c r="D502" s="1"/>
      <c r="G502" s="1"/>
      <c r="H502" s="1"/>
    </row>
    <row r="503" spans="2:8" ht="14.25" customHeight="1" x14ac:dyDescent="0.25">
      <c r="B503" s="1"/>
      <c r="C503" s="1"/>
      <c r="D503" s="1"/>
      <c r="G503" s="1"/>
      <c r="H503" s="1"/>
    </row>
    <row r="504" spans="2:8" ht="14.25" customHeight="1" x14ac:dyDescent="0.25">
      <c r="B504" s="1"/>
      <c r="C504" s="1"/>
      <c r="D504" s="1"/>
      <c r="G504" s="1"/>
      <c r="H504" s="1"/>
    </row>
    <row r="505" spans="2:8" ht="14.25" customHeight="1" x14ac:dyDescent="0.25">
      <c r="B505" s="1"/>
      <c r="C505" s="1"/>
      <c r="D505" s="1"/>
      <c r="G505" s="1"/>
      <c r="H505" s="1"/>
    </row>
    <row r="506" spans="2:8" ht="14.25" customHeight="1" x14ac:dyDescent="0.25">
      <c r="B506" s="1"/>
      <c r="C506" s="1"/>
      <c r="D506" s="1"/>
      <c r="G506" s="1"/>
      <c r="H506" s="1"/>
    </row>
    <row r="507" spans="2:8" ht="14.25" customHeight="1" x14ac:dyDescent="0.25">
      <c r="B507" s="1"/>
      <c r="C507" s="1"/>
      <c r="D507" s="1"/>
      <c r="G507" s="1"/>
      <c r="H507" s="1"/>
    </row>
    <row r="508" spans="2:8" ht="14.25" customHeight="1" x14ac:dyDescent="0.25">
      <c r="B508" s="1"/>
      <c r="C508" s="1"/>
      <c r="D508" s="1"/>
      <c r="G508" s="1"/>
      <c r="H508" s="1"/>
    </row>
    <row r="509" spans="2:8" ht="14.25" customHeight="1" x14ac:dyDescent="0.25">
      <c r="B509" s="1"/>
      <c r="C509" s="1"/>
      <c r="D509" s="1"/>
      <c r="G509" s="1"/>
      <c r="H509" s="1"/>
    </row>
    <row r="510" spans="2:8" ht="14.25" customHeight="1" x14ac:dyDescent="0.25">
      <c r="B510" s="1"/>
      <c r="C510" s="1"/>
      <c r="D510" s="1"/>
      <c r="G510" s="1"/>
      <c r="H510" s="1"/>
    </row>
    <row r="511" spans="2:8" ht="14.25" customHeight="1" x14ac:dyDescent="0.25">
      <c r="B511" s="1"/>
      <c r="C511" s="1"/>
      <c r="D511" s="1"/>
      <c r="G511" s="1"/>
      <c r="H511" s="1"/>
    </row>
    <row r="512" spans="2:8" ht="14.25" customHeight="1" x14ac:dyDescent="0.25">
      <c r="B512" s="1"/>
      <c r="C512" s="1"/>
      <c r="D512" s="1"/>
      <c r="G512" s="1"/>
      <c r="H512" s="1"/>
    </row>
    <row r="513" spans="2:8" ht="14.25" customHeight="1" x14ac:dyDescent="0.25">
      <c r="B513" s="1"/>
      <c r="C513" s="1"/>
      <c r="D513" s="1"/>
      <c r="G513" s="1"/>
      <c r="H513" s="1"/>
    </row>
    <row r="514" spans="2:8" ht="14.25" customHeight="1" x14ac:dyDescent="0.25">
      <c r="B514" s="1"/>
      <c r="C514" s="1"/>
      <c r="D514" s="1"/>
      <c r="G514" s="1"/>
      <c r="H514" s="1"/>
    </row>
    <row r="515" spans="2:8" ht="14.25" customHeight="1" x14ac:dyDescent="0.25">
      <c r="B515" s="1"/>
      <c r="C515" s="1"/>
      <c r="D515" s="1"/>
      <c r="G515" s="1"/>
      <c r="H515" s="1"/>
    </row>
    <row r="516" spans="2:8" ht="14.25" customHeight="1" x14ac:dyDescent="0.25">
      <c r="B516" s="1"/>
      <c r="C516" s="1"/>
      <c r="D516" s="1"/>
      <c r="G516" s="1"/>
      <c r="H516" s="1"/>
    </row>
    <row r="517" spans="2:8" ht="14.25" customHeight="1" x14ac:dyDescent="0.25">
      <c r="B517" s="1"/>
      <c r="C517" s="1"/>
      <c r="D517" s="1"/>
      <c r="G517" s="1"/>
      <c r="H517" s="1"/>
    </row>
    <row r="518" spans="2:8" ht="14.25" customHeight="1" x14ac:dyDescent="0.25">
      <c r="B518" s="1"/>
      <c r="C518" s="1"/>
      <c r="D518" s="1"/>
      <c r="G518" s="1"/>
      <c r="H518" s="1"/>
    </row>
    <row r="519" spans="2:8" ht="14.25" customHeight="1" x14ac:dyDescent="0.25">
      <c r="B519" s="1"/>
      <c r="C519" s="1"/>
      <c r="D519" s="1"/>
      <c r="G519" s="1"/>
      <c r="H519" s="1"/>
    </row>
    <row r="520" spans="2:8" ht="14.25" customHeight="1" x14ac:dyDescent="0.25">
      <c r="B520" s="1"/>
      <c r="C520" s="1"/>
      <c r="D520" s="1"/>
      <c r="G520" s="1"/>
      <c r="H520" s="1"/>
    </row>
    <row r="521" spans="2:8" ht="14.25" customHeight="1" x14ac:dyDescent="0.25">
      <c r="B521" s="1"/>
      <c r="C521" s="1"/>
      <c r="D521" s="1"/>
      <c r="G521" s="1"/>
      <c r="H521" s="1"/>
    </row>
    <row r="522" spans="2:8" ht="14.25" customHeight="1" x14ac:dyDescent="0.25">
      <c r="B522" s="1"/>
      <c r="C522" s="1"/>
      <c r="D522" s="1"/>
      <c r="G522" s="1"/>
      <c r="H522" s="1"/>
    </row>
    <row r="523" spans="2:8" ht="14.25" customHeight="1" x14ac:dyDescent="0.25">
      <c r="B523" s="1"/>
      <c r="C523" s="1"/>
      <c r="D523" s="1"/>
      <c r="G523" s="1"/>
      <c r="H523" s="1"/>
    </row>
    <row r="524" spans="2:8" ht="14.25" customHeight="1" x14ac:dyDescent="0.25">
      <c r="B524" s="1"/>
      <c r="C524" s="1"/>
      <c r="D524" s="1"/>
      <c r="G524" s="1"/>
      <c r="H524" s="1"/>
    </row>
    <row r="525" spans="2:8" ht="14.25" customHeight="1" x14ac:dyDescent="0.25">
      <c r="B525" s="1"/>
      <c r="C525" s="1"/>
      <c r="D525" s="1"/>
      <c r="G525" s="1"/>
      <c r="H525" s="1"/>
    </row>
    <row r="526" spans="2:8" ht="14.25" customHeight="1" x14ac:dyDescent="0.25">
      <c r="B526" s="1"/>
      <c r="C526" s="1"/>
      <c r="D526" s="1"/>
      <c r="G526" s="1"/>
      <c r="H526" s="1"/>
    </row>
    <row r="527" spans="2:8" ht="14.25" customHeight="1" x14ac:dyDescent="0.25">
      <c r="B527" s="1"/>
      <c r="C527" s="1"/>
      <c r="D527" s="1"/>
      <c r="G527" s="1"/>
      <c r="H527" s="1"/>
    </row>
    <row r="528" spans="2:8" ht="14.25" customHeight="1" x14ac:dyDescent="0.25">
      <c r="B528" s="1"/>
      <c r="C528" s="1"/>
      <c r="D528" s="1"/>
      <c r="G528" s="1"/>
      <c r="H528" s="1"/>
    </row>
    <row r="529" spans="2:8" ht="14.25" customHeight="1" x14ac:dyDescent="0.25">
      <c r="B529" s="1"/>
      <c r="C529" s="1"/>
      <c r="D529" s="1"/>
      <c r="G529" s="1"/>
      <c r="H529" s="1"/>
    </row>
    <row r="530" spans="2:8" ht="14.25" customHeight="1" x14ac:dyDescent="0.25">
      <c r="B530" s="1"/>
      <c r="C530" s="1"/>
      <c r="D530" s="1"/>
      <c r="G530" s="1"/>
      <c r="H530" s="1"/>
    </row>
    <row r="531" spans="2:8" ht="14.25" customHeight="1" x14ac:dyDescent="0.25">
      <c r="B531" s="1"/>
      <c r="C531" s="1"/>
      <c r="D531" s="1"/>
      <c r="G531" s="1"/>
      <c r="H531" s="1"/>
    </row>
    <row r="532" spans="2:8" ht="14.25" customHeight="1" x14ac:dyDescent="0.25">
      <c r="B532" s="1"/>
      <c r="C532" s="1"/>
      <c r="D532" s="1"/>
      <c r="G532" s="1"/>
      <c r="H532" s="1"/>
    </row>
    <row r="533" spans="2:8" ht="14.25" customHeight="1" x14ac:dyDescent="0.25">
      <c r="B533" s="1"/>
      <c r="C533" s="1"/>
      <c r="D533" s="1"/>
      <c r="G533" s="1"/>
      <c r="H533" s="1"/>
    </row>
    <row r="534" spans="2:8" ht="14.25" customHeight="1" x14ac:dyDescent="0.25">
      <c r="B534" s="1"/>
      <c r="C534" s="1"/>
      <c r="D534" s="1"/>
      <c r="G534" s="1"/>
      <c r="H534" s="1"/>
    </row>
    <row r="535" spans="2:8" ht="14.25" customHeight="1" x14ac:dyDescent="0.25">
      <c r="B535" s="1"/>
      <c r="C535" s="1"/>
      <c r="D535" s="1"/>
      <c r="G535" s="1"/>
      <c r="H535" s="1"/>
    </row>
    <row r="536" spans="2:8" ht="14.25" customHeight="1" x14ac:dyDescent="0.25">
      <c r="B536" s="1"/>
      <c r="C536" s="1"/>
      <c r="D536" s="1"/>
      <c r="G536" s="1"/>
      <c r="H536" s="1"/>
    </row>
    <row r="537" spans="2:8" ht="14.25" customHeight="1" x14ac:dyDescent="0.25">
      <c r="B537" s="1"/>
      <c r="C537" s="1"/>
      <c r="D537" s="1"/>
      <c r="G537" s="1"/>
      <c r="H537" s="1"/>
    </row>
    <row r="538" spans="2:8" ht="14.25" customHeight="1" x14ac:dyDescent="0.25">
      <c r="B538" s="1"/>
      <c r="C538" s="1"/>
      <c r="D538" s="1"/>
      <c r="G538" s="1"/>
      <c r="H538" s="1"/>
    </row>
    <row r="539" spans="2:8" ht="14.25" customHeight="1" x14ac:dyDescent="0.25">
      <c r="B539" s="1"/>
      <c r="C539" s="1"/>
      <c r="D539" s="1"/>
      <c r="G539" s="1"/>
      <c r="H539" s="1"/>
    </row>
    <row r="540" spans="2:8" ht="14.25" customHeight="1" x14ac:dyDescent="0.25">
      <c r="B540" s="1"/>
      <c r="C540" s="1"/>
      <c r="D540" s="1"/>
      <c r="G540" s="1"/>
      <c r="H540" s="1"/>
    </row>
    <row r="541" spans="2:8" ht="14.25" customHeight="1" x14ac:dyDescent="0.25">
      <c r="B541" s="1"/>
      <c r="C541" s="1"/>
      <c r="D541" s="1"/>
      <c r="G541" s="1"/>
      <c r="H541" s="1"/>
    </row>
    <row r="542" spans="2:8" ht="14.25" customHeight="1" x14ac:dyDescent="0.25">
      <c r="B542" s="1"/>
      <c r="C542" s="1"/>
      <c r="D542" s="1"/>
      <c r="G542" s="1"/>
      <c r="H542" s="1"/>
    </row>
    <row r="543" spans="2:8" ht="14.25" customHeight="1" x14ac:dyDescent="0.25">
      <c r="B543" s="1"/>
      <c r="C543" s="1"/>
      <c r="D543" s="1"/>
      <c r="G543" s="1"/>
      <c r="H543" s="1"/>
    </row>
    <row r="544" spans="2:8" ht="14.25" customHeight="1" x14ac:dyDescent="0.25">
      <c r="B544" s="1"/>
      <c r="C544" s="1"/>
      <c r="D544" s="1"/>
      <c r="G544" s="1"/>
      <c r="H544" s="1"/>
    </row>
    <row r="545" spans="2:8" ht="14.25" customHeight="1" x14ac:dyDescent="0.25">
      <c r="B545" s="1"/>
      <c r="C545" s="1"/>
      <c r="D545" s="1"/>
      <c r="G545" s="1"/>
      <c r="H545" s="1"/>
    </row>
    <row r="546" spans="2:8" ht="14.25" customHeight="1" x14ac:dyDescent="0.25">
      <c r="B546" s="1"/>
      <c r="C546" s="1"/>
      <c r="D546" s="1"/>
      <c r="G546" s="1"/>
      <c r="H546" s="1"/>
    </row>
    <row r="547" spans="2:8" ht="14.25" customHeight="1" x14ac:dyDescent="0.25">
      <c r="B547" s="1"/>
      <c r="C547" s="1"/>
      <c r="D547" s="1"/>
      <c r="G547" s="1"/>
      <c r="H547" s="1"/>
    </row>
    <row r="548" spans="2:8" ht="14.25" customHeight="1" x14ac:dyDescent="0.25">
      <c r="B548" s="1"/>
      <c r="C548" s="1"/>
      <c r="D548" s="1"/>
      <c r="G548" s="1"/>
      <c r="H548" s="1"/>
    </row>
    <row r="549" spans="2:8" ht="14.25" customHeight="1" x14ac:dyDescent="0.25">
      <c r="B549" s="1"/>
      <c r="C549" s="1"/>
      <c r="D549" s="1"/>
      <c r="G549" s="1"/>
      <c r="H549" s="1"/>
    </row>
    <row r="550" spans="2:8" ht="14.25" customHeight="1" x14ac:dyDescent="0.25">
      <c r="B550" s="1"/>
      <c r="C550" s="1"/>
      <c r="D550" s="1"/>
      <c r="G550" s="1"/>
      <c r="H550" s="1"/>
    </row>
    <row r="551" spans="2:8" ht="14.25" customHeight="1" x14ac:dyDescent="0.25">
      <c r="B551" s="1"/>
      <c r="C551" s="1"/>
      <c r="D551" s="1"/>
      <c r="G551" s="1"/>
      <c r="H551" s="1"/>
    </row>
    <row r="552" spans="2:8" ht="14.25" customHeight="1" x14ac:dyDescent="0.25">
      <c r="B552" s="1"/>
      <c r="C552" s="1"/>
      <c r="D552" s="1"/>
      <c r="G552" s="1"/>
      <c r="H552" s="1"/>
    </row>
    <row r="553" spans="2:8" ht="14.25" customHeight="1" x14ac:dyDescent="0.25">
      <c r="B553" s="1"/>
      <c r="C553" s="1"/>
      <c r="D553" s="1"/>
      <c r="G553" s="1"/>
      <c r="H553" s="1"/>
    </row>
    <row r="554" spans="2:8" ht="14.25" customHeight="1" x14ac:dyDescent="0.25">
      <c r="B554" s="1"/>
      <c r="C554" s="1"/>
      <c r="D554" s="1"/>
      <c r="G554" s="1"/>
      <c r="H554" s="1"/>
    </row>
    <row r="555" spans="2:8" ht="14.25" customHeight="1" x14ac:dyDescent="0.25">
      <c r="B555" s="1"/>
      <c r="C555" s="1"/>
      <c r="D555" s="1"/>
      <c r="G555" s="1"/>
      <c r="H555" s="1"/>
    </row>
    <row r="556" spans="2:8" ht="14.25" customHeight="1" x14ac:dyDescent="0.25">
      <c r="B556" s="1"/>
      <c r="C556" s="1"/>
      <c r="D556" s="1"/>
      <c r="G556" s="1"/>
      <c r="H556" s="1"/>
    </row>
    <row r="557" spans="2:8" ht="14.25" customHeight="1" x14ac:dyDescent="0.25">
      <c r="B557" s="1"/>
      <c r="C557" s="1"/>
      <c r="D557" s="1"/>
      <c r="G557" s="1"/>
      <c r="H557" s="1"/>
    </row>
    <row r="558" spans="2:8" ht="14.25" customHeight="1" x14ac:dyDescent="0.25">
      <c r="B558" s="1"/>
      <c r="C558" s="1"/>
      <c r="D558" s="1"/>
      <c r="G558" s="1"/>
      <c r="H558" s="1"/>
    </row>
    <row r="559" spans="2:8" ht="14.25" customHeight="1" x14ac:dyDescent="0.25">
      <c r="B559" s="1"/>
      <c r="C559" s="1"/>
      <c r="D559" s="1"/>
      <c r="G559" s="1"/>
      <c r="H559" s="1"/>
    </row>
    <row r="560" spans="2:8" ht="14.25" customHeight="1" x14ac:dyDescent="0.25">
      <c r="B560" s="1"/>
      <c r="C560" s="1"/>
      <c r="D560" s="1"/>
      <c r="G560" s="1"/>
      <c r="H560" s="1"/>
    </row>
    <row r="561" spans="2:8" ht="14.25" customHeight="1" x14ac:dyDescent="0.25">
      <c r="B561" s="1"/>
      <c r="C561" s="1"/>
      <c r="D561" s="1"/>
      <c r="G561" s="1"/>
      <c r="H561" s="1"/>
    </row>
    <row r="562" spans="2:8" ht="14.25" customHeight="1" x14ac:dyDescent="0.25">
      <c r="B562" s="1"/>
      <c r="C562" s="1"/>
      <c r="D562" s="1"/>
      <c r="G562" s="1"/>
      <c r="H562" s="1"/>
    </row>
    <row r="563" spans="2:8" ht="14.25" customHeight="1" x14ac:dyDescent="0.25">
      <c r="B563" s="1"/>
      <c r="C563" s="1"/>
      <c r="D563" s="1"/>
      <c r="G563" s="1"/>
      <c r="H563" s="1"/>
    </row>
    <row r="564" spans="2:8" ht="14.25" customHeight="1" x14ac:dyDescent="0.25">
      <c r="B564" s="1"/>
      <c r="C564" s="1"/>
      <c r="D564" s="1"/>
      <c r="G564" s="1"/>
      <c r="H564" s="1"/>
    </row>
    <row r="565" spans="2:8" ht="14.25" customHeight="1" x14ac:dyDescent="0.25">
      <c r="B565" s="1"/>
      <c r="C565" s="1"/>
      <c r="D565" s="1"/>
      <c r="G565" s="1"/>
      <c r="H565" s="1"/>
    </row>
    <row r="566" spans="2:8" ht="14.25" customHeight="1" x14ac:dyDescent="0.25">
      <c r="B566" s="1"/>
      <c r="C566" s="1"/>
      <c r="D566" s="1"/>
      <c r="G566" s="1"/>
      <c r="H566" s="1"/>
    </row>
    <row r="567" spans="2:8" ht="14.25" customHeight="1" x14ac:dyDescent="0.25">
      <c r="B567" s="1"/>
      <c r="C567" s="1"/>
      <c r="D567" s="1"/>
      <c r="G567" s="1"/>
      <c r="H567" s="1"/>
    </row>
    <row r="568" spans="2:8" ht="14.25" customHeight="1" x14ac:dyDescent="0.25">
      <c r="B568" s="1"/>
      <c r="C568" s="1"/>
      <c r="D568" s="1"/>
      <c r="G568" s="1"/>
      <c r="H568" s="1"/>
    </row>
    <row r="569" spans="2:8" ht="14.25" customHeight="1" x14ac:dyDescent="0.25">
      <c r="B569" s="1"/>
      <c r="C569" s="1"/>
      <c r="D569" s="1"/>
      <c r="G569" s="1"/>
      <c r="H569" s="1"/>
    </row>
    <row r="570" spans="2:8" ht="14.25" customHeight="1" x14ac:dyDescent="0.25">
      <c r="B570" s="1"/>
      <c r="C570" s="1"/>
      <c r="D570" s="1"/>
      <c r="G570" s="1"/>
      <c r="H570" s="1"/>
    </row>
    <row r="571" spans="2:8" ht="14.25" customHeight="1" x14ac:dyDescent="0.25">
      <c r="B571" s="1"/>
      <c r="C571" s="1"/>
      <c r="D571" s="1"/>
      <c r="G571" s="1"/>
      <c r="H571" s="1"/>
    </row>
    <row r="572" spans="2:8" ht="14.25" customHeight="1" x14ac:dyDescent="0.25">
      <c r="B572" s="1"/>
      <c r="C572" s="1"/>
      <c r="D572" s="1"/>
      <c r="G572" s="1"/>
      <c r="H572" s="1"/>
    </row>
    <row r="573" spans="2:8" ht="14.25" customHeight="1" x14ac:dyDescent="0.25">
      <c r="B573" s="1"/>
      <c r="C573" s="1"/>
      <c r="D573" s="1"/>
      <c r="G573" s="1"/>
      <c r="H573" s="1"/>
    </row>
    <row r="574" spans="2:8" ht="14.25" customHeight="1" x14ac:dyDescent="0.25">
      <c r="B574" s="1"/>
      <c r="C574" s="1"/>
      <c r="D574" s="1"/>
      <c r="G574" s="1"/>
      <c r="H574" s="1"/>
    </row>
    <row r="575" spans="2:8" ht="14.25" customHeight="1" x14ac:dyDescent="0.25">
      <c r="B575" s="1"/>
      <c r="C575" s="1"/>
      <c r="D575" s="1"/>
      <c r="G575" s="1"/>
      <c r="H575" s="1"/>
    </row>
    <row r="576" spans="2:8" ht="14.25" customHeight="1" x14ac:dyDescent="0.25">
      <c r="B576" s="1"/>
      <c r="C576" s="1"/>
      <c r="D576" s="1"/>
      <c r="G576" s="1"/>
      <c r="H576" s="1"/>
    </row>
    <row r="577" spans="2:8" ht="14.25" customHeight="1" x14ac:dyDescent="0.25">
      <c r="B577" s="1"/>
      <c r="C577" s="1"/>
      <c r="D577" s="1"/>
      <c r="G577" s="1"/>
      <c r="H577" s="1"/>
    </row>
    <row r="578" spans="2:8" ht="14.25" customHeight="1" x14ac:dyDescent="0.25">
      <c r="B578" s="1"/>
      <c r="C578" s="1"/>
      <c r="D578" s="1"/>
      <c r="G578" s="1"/>
      <c r="H578" s="1"/>
    </row>
    <row r="579" spans="2:8" ht="14.25" customHeight="1" x14ac:dyDescent="0.25">
      <c r="B579" s="1"/>
      <c r="C579" s="1"/>
      <c r="D579" s="1"/>
      <c r="G579" s="1"/>
      <c r="H579" s="1"/>
    </row>
    <row r="580" spans="2:8" ht="14.25" customHeight="1" x14ac:dyDescent="0.25">
      <c r="B580" s="1"/>
      <c r="C580" s="1"/>
      <c r="D580" s="1"/>
      <c r="G580" s="1"/>
      <c r="H580" s="1"/>
    </row>
    <row r="581" spans="2:8" ht="14.25" customHeight="1" x14ac:dyDescent="0.25">
      <c r="B581" s="1"/>
      <c r="C581" s="1"/>
      <c r="D581" s="1"/>
      <c r="G581" s="1"/>
      <c r="H581" s="1"/>
    </row>
    <row r="582" spans="2:8" ht="14.25" customHeight="1" x14ac:dyDescent="0.25">
      <c r="B582" s="1"/>
      <c r="C582" s="1"/>
      <c r="D582" s="1"/>
      <c r="G582" s="1"/>
      <c r="H582" s="1"/>
    </row>
    <row r="583" spans="2:8" ht="14.25" customHeight="1" x14ac:dyDescent="0.25">
      <c r="B583" s="1"/>
      <c r="C583" s="1"/>
      <c r="D583" s="1"/>
      <c r="G583" s="1"/>
      <c r="H583" s="1"/>
    </row>
    <row r="584" spans="2:8" ht="14.25" customHeight="1" x14ac:dyDescent="0.25">
      <c r="B584" s="1"/>
      <c r="C584" s="1"/>
      <c r="D584" s="1"/>
      <c r="G584" s="1"/>
      <c r="H584" s="1"/>
    </row>
    <row r="585" spans="2:8" ht="14.25" customHeight="1" x14ac:dyDescent="0.25">
      <c r="B585" s="1"/>
      <c r="C585" s="1"/>
      <c r="D585" s="1"/>
      <c r="G585" s="1"/>
      <c r="H585" s="1"/>
    </row>
    <row r="586" spans="2:8" ht="14.25" customHeight="1" x14ac:dyDescent="0.25">
      <c r="B586" s="1"/>
      <c r="C586" s="1"/>
      <c r="D586" s="1"/>
      <c r="G586" s="1"/>
      <c r="H586" s="1"/>
    </row>
    <row r="587" spans="2:8" ht="14.25" customHeight="1" x14ac:dyDescent="0.25">
      <c r="B587" s="1"/>
      <c r="C587" s="1"/>
      <c r="D587" s="1"/>
      <c r="G587" s="1"/>
      <c r="H587" s="1"/>
    </row>
    <row r="588" spans="2:8" ht="14.25" customHeight="1" x14ac:dyDescent="0.25">
      <c r="B588" s="1"/>
      <c r="C588" s="1"/>
      <c r="D588" s="1"/>
      <c r="G588" s="1"/>
      <c r="H588" s="1"/>
    </row>
    <row r="589" spans="2:8" ht="14.25" customHeight="1" x14ac:dyDescent="0.25">
      <c r="B589" s="1"/>
      <c r="C589" s="1"/>
      <c r="D589" s="1"/>
      <c r="G589" s="1"/>
      <c r="H589" s="1"/>
    </row>
    <row r="590" spans="2:8" ht="14.25" customHeight="1" x14ac:dyDescent="0.25">
      <c r="B590" s="1"/>
      <c r="C590" s="1"/>
      <c r="D590" s="1"/>
      <c r="G590" s="1"/>
      <c r="H590" s="1"/>
    </row>
    <row r="591" spans="2:8" ht="14.25" customHeight="1" x14ac:dyDescent="0.25">
      <c r="B591" s="1"/>
      <c r="C591" s="1"/>
      <c r="D591" s="1"/>
      <c r="G591" s="1"/>
      <c r="H591" s="1"/>
    </row>
    <row r="592" spans="2:8" ht="14.25" customHeight="1" x14ac:dyDescent="0.25">
      <c r="B592" s="1"/>
      <c r="C592" s="1"/>
      <c r="D592" s="1"/>
      <c r="G592" s="1"/>
      <c r="H592" s="1"/>
    </row>
    <row r="593" spans="2:8" ht="14.25" customHeight="1" x14ac:dyDescent="0.25">
      <c r="B593" s="1"/>
      <c r="C593" s="1"/>
      <c r="D593" s="1"/>
      <c r="G593" s="1"/>
      <c r="H593" s="1"/>
    </row>
    <row r="594" spans="2:8" ht="14.25" customHeight="1" x14ac:dyDescent="0.25">
      <c r="B594" s="1"/>
      <c r="C594" s="1"/>
      <c r="D594" s="1"/>
      <c r="G594" s="1"/>
      <c r="H594" s="1"/>
    </row>
    <row r="595" spans="2:8" ht="14.25" customHeight="1" x14ac:dyDescent="0.25">
      <c r="B595" s="1"/>
      <c r="C595" s="1"/>
      <c r="D595" s="1"/>
      <c r="G595" s="1"/>
      <c r="H595" s="1"/>
    </row>
    <row r="596" spans="2:8" ht="14.25" customHeight="1" x14ac:dyDescent="0.25">
      <c r="B596" s="1"/>
      <c r="C596" s="1"/>
      <c r="D596" s="1"/>
      <c r="G596" s="1"/>
      <c r="H596" s="1"/>
    </row>
    <row r="597" spans="2:8" ht="14.25" customHeight="1" x14ac:dyDescent="0.25">
      <c r="B597" s="1"/>
      <c r="C597" s="1"/>
      <c r="D597" s="1"/>
      <c r="G597" s="1"/>
      <c r="H597" s="1"/>
    </row>
    <row r="598" spans="2:8" ht="14.25" customHeight="1" x14ac:dyDescent="0.25">
      <c r="B598" s="1"/>
      <c r="C598" s="1"/>
      <c r="D598" s="1"/>
      <c r="G598" s="1"/>
      <c r="H598" s="1"/>
    </row>
    <row r="599" spans="2:8" ht="14.25" customHeight="1" x14ac:dyDescent="0.25">
      <c r="B599" s="1"/>
      <c r="C599" s="1"/>
      <c r="D599" s="1"/>
      <c r="G599" s="1"/>
      <c r="H599" s="1"/>
    </row>
    <row r="600" spans="2:8" ht="14.25" customHeight="1" x14ac:dyDescent="0.25">
      <c r="B600" s="1"/>
      <c r="C600" s="1"/>
      <c r="D600" s="1"/>
      <c r="G600" s="1"/>
      <c r="H600" s="1"/>
    </row>
    <row r="601" spans="2:8" ht="14.25" customHeight="1" x14ac:dyDescent="0.25">
      <c r="B601" s="1"/>
      <c r="C601" s="1"/>
      <c r="D601" s="1"/>
      <c r="G601" s="1"/>
      <c r="H601" s="1"/>
    </row>
    <row r="602" spans="2:8" ht="14.25" customHeight="1" x14ac:dyDescent="0.25">
      <c r="B602" s="1"/>
      <c r="C602" s="1"/>
      <c r="D602" s="1"/>
      <c r="G602" s="1"/>
      <c r="H602" s="1"/>
    </row>
    <row r="603" spans="2:8" ht="14.25" customHeight="1" x14ac:dyDescent="0.25">
      <c r="B603" s="1"/>
      <c r="C603" s="1"/>
      <c r="D603" s="1"/>
      <c r="G603" s="1"/>
      <c r="H603" s="1"/>
    </row>
    <row r="604" spans="2:8" ht="14.25" customHeight="1" x14ac:dyDescent="0.25">
      <c r="B604" s="1"/>
      <c r="C604" s="1"/>
      <c r="D604" s="1"/>
      <c r="G604" s="1"/>
      <c r="H604" s="1"/>
    </row>
    <row r="605" spans="2:8" ht="14.25" customHeight="1" x14ac:dyDescent="0.25">
      <c r="B605" s="1"/>
      <c r="C605" s="1"/>
      <c r="D605" s="1"/>
      <c r="G605" s="1"/>
      <c r="H605" s="1"/>
    </row>
    <row r="606" spans="2:8" ht="14.25" customHeight="1" x14ac:dyDescent="0.25">
      <c r="B606" s="1"/>
      <c r="C606" s="1"/>
      <c r="D606" s="1"/>
      <c r="G606" s="1"/>
      <c r="H606" s="1"/>
    </row>
    <row r="607" spans="2:8" ht="14.25" customHeight="1" x14ac:dyDescent="0.25">
      <c r="B607" s="1"/>
      <c r="C607" s="1"/>
      <c r="D607" s="1"/>
      <c r="G607" s="1"/>
      <c r="H607" s="1"/>
    </row>
    <row r="608" spans="2:8" ht="14.25" customHeight="1" x14ac:dyDescent="0.25">
      <c r="B608" s="1"/>
      <c r="C608" s="1"/>
      <c r="D608" s="1"/>
      <c r="G608" s="1"/>
      <c r="H608" s="1"/>
    </row>
    <row r="609" spans="2:8" ht="14.25" customHeight="1" x14ac:dyDescent="0.25">
      <c r="B609" s="1"/>
      <c r="C609" s="1"/>
      <c r="D609" s="1"/>
      <c r="G609" s="1"/>
      <c r="H609" s="1"/>
    </row>
    <row r="610" spans="2:8" ht="14.25" customHeight="1" x14ac:dyDescent="0.25">
      <c r="B610" s="1"/>
      <c r="C610" s="1"/>
      <c r="D610" s="1"/>
      <c r="G610" s="1"/>
      <c r="H610" s="1"/>
    </row>
    <row r="611" spans="2:8" ht="14.25" customHeight="1" x14ac:dyDescent="0.25">
      <c r="B611" s="1"/>
      <c r="C611" s="1"/>
      <c r="D611" s="1"/>
      <c r="G611" s="1"/>
      <c r="H611" s="1"/>
    </row>
    <row r="612" spans="2:8" ht="14.25" customHeight="1" x14ac:dyDescent="0.25">
      <c r="B612" s="1"/>
      <c r="C612" s="1"/>
      <c r="D612" s="1"/>
      <c r="G612" s="1"/>
      <c r="H612" s="1"/>
    </row>
    <row r="613" spans="2:8" ht="14.25" customHeight="1" x14ac:dyDescent="0.25">
      <c r="B613" s="1"/>
      <c r="C613" s="1"/>
      <c r="D613" s="1"/>
      <c r="G613" s="1"/>
      <c r="H613" s="1"/>
    </row>
    <row r="614" spans="2:8" ht="14.25" customHeight="1" x14ac:dyDescent="0.25">
      <c r="B614" s="1"/>
      <c r="C614" s="1"/>
      <c r="D614" s="1"/>
      <c r="G614" s="1"/>
      <c r="H614" s="1"/>
    </row>
    <row r="615" spans="2:8" ht="14.25" customHeight="1" x14ac:dyDescent="0.25">
      <c r="B615" s="1"/>
      <c r="C615" s="1"/>
      <c r="D615" s="1"/>
      <c r="G615" s="1"/>
      <c r="H615" s="1"/>
    </row>
    <row r="616" spans="2:8" ht="14.25" customHeight="1" x14ac:dyDescent="0.25">
      <c r="B616" s="1"/>
      <c r="C616" s="1"/>
      <c r="D616" s="1"/>
      <c r="G616" s="1"/>
      <c r="H616" s="1"/>
    </row>
    <row r="617" spans="2:8" ht="14.25" customHeight="1" x14ac:dyDescent="0.25">
      <c r="B617" s="1"/>
      <c r="C617" s="1"/>
      <c r="D617" s="1"/>
      <c r="G617" s="1"/>
      <c r="H617" s="1"/>
    </row>
    <row r="618" spans="2:8" ht="14.25" customHeight="1" x14ac:dyDescent="0.25">
      <c r="B618" s="1"/>
      <c r="C618" s="1"/>
      <c r="D618" s="1"/>
      <c r="G618" s="1"/>
      <c r="H618" s="1"/>
    </row>
    <row r="619" spans="2:8" ht="14.25" customHeight="1" x14ac:dyDescent="0.25">
      <c r="B619" s="1"/>
      <c r="C619" s="1"/>
      <c r="D619" s="1"/>
      <c r="G619" s="1"/>
      <c r="H619" s="1"/>
    </row>
    <row r="620" spans="2:8" ht="14.25" customHeight="1" x14ac:dyDescent="0.25">
      <c r="B620" s="1"/>
      <c r="C620" s="1"/>
      <c r="D620" s="1"/>
      <c r="G620" s="1"/>
      <c r="H620" s="1"/>
    </row>
    <row r="621" spans="2:8" ht="14.25" customHeight="1" x14ac:dyDescent="0.25">
      <c r="B621" s="1"/>
      <c r="C621" s="1"/>
      <c r="D621" s="1"/>
      <c r="G621" s="1"/>
      <c r="H621" s="1"/>
    </row>
    <row r="622" spans="2:8" ht="14.25" customHeight="1" x14ac:dyDescent="0.25">
      <c r="B622" s="1"/>
      <c r="C622" s="1"/>
      <c r="D622" s="1"/>
      <c r="G622" s="1"/>
      <c r="H622" s="1"/>
    </row>
    <row r="623" spans="2:8" ht="14.25" customHeight="1" x14ac:dyDescent="0.25">
      <c r="B623" s="1"/>
      <c r="C623" s="1"/>
      <c r="D623" s="1"/>
      <c r="G623" s="1"/>
      <c r="H623" s="1"/>
    </row>
    <row r="624" spans="2:8" ht="14.25" customHeight="1" x14ac:dyDescent="0.25">
      <c r="B624" s="1"/>
      <c r="C624" s="1"/>
      <c r="D624" s="1"/>
      <c r="G624" s="1"/>
      <c r="H624" s="1"/>
    </row>
    <row r="625" spans="2:8" ht="14.25" customHeight="1" x14ac:dyDescent="0.25">
      <c r="B625" s="1"/>
      <c r="C625" s="1"/>
      <c r="D625" s="1"/>
      <c r="G625" s="1"/>
      <c r="H625" s="1"/>
    </row>
    <row r="626" spans="2:8" ht="14.25" customHeight="1" x14ac:dyDescent="0.25">
      <c r="B626" s="1"/>
      <c r="C626" s="1"/>
      <c r="D626" s="1"/>
      <c r="G626" s="1"/>
      <c r="H626" s="1"/>
    </row>
    <row r="627" spans="2:8" ht="14.25" customHeight="1" x14ac:dyDescent="0.25">
      <c r="B627" s="1"/>
      <c r="C627" s="1"/>
      <c r="D627" s="1"/>
      <c r="G627" s="1"/>
      <c r="H627" s="1"/>
    </row>
    <row r="628" spans="2:8" ht="14.25" customHeight="1" x14ac:dyDescent="0.25">
      <c r="B628" s="1"/>
      <c r="C628" s="1"/>
      <c r="D628" s="1"/>
      <c r="G628" s="1"/>
      <c r="H628" s="1"/>
    </row>
    <row r="629" spans="2:8" ht="14.25" customHeight="1" x14ac:dyDescent="0.25">
      <c r="B629" s="1"/>
      <c r="C629" s="1"/>
      <c r="D629" s="1"/>
      <c r="G629" s="1"/>
      <c r="H629" s="1"/>
    </row>
    <row r="630" spans="2:8" ht="14.25" customHeight="1" x14ac:dyDescent="0.25">
      <c r="B630" s="1"/>
      <c r="C630" s="1"/>
      <c r="D630" s="1"/>
      <c r="G630" s="1"/>
      <c r="H630" s="1"/>
    </row>
    <row r="631" spans="2:8" ht="14.25" customHeight="1" x14ac:dyDescent="0.25">
      <c r="B631" s="1"/>
      <c r="C631" s="1"/>
      <c r="D631" s="1"/>
      <c r="G631" s="1"/>
      <c r="H631" s="1"/>
    </row>
    <row r="632" spans="2:8" ht="14.25" customHeight="1" x14ac:dyDescent="0.25">
      <c r="B632" s="1"/>
      <c r="C632" s="1"/>
      <c r="D632" s="1"/>
      <c r="G632" s="1"/>
      <c r="H632" s="1"/>
    </row>
    <row r="633" spans="2:8" ht="14.25" customHeight="1" x14ac:dyDescent="0.25">
      <c r="B633" s="1"/>
      <c r="C633" s="1"/>
      <c r="D633" s="1"/>
      <c r="G633" s="1"/>
      <c r="H633" s="1"/>
    </row>
    <row r="634" spans="2:8" ht="14.25" customHeight="1" x14ac:dyDescent="0.25">
      <c r="B634" s="1"/>
      <c r="C634" s="1"/>
      <c r="D634" s="1"/>
      <c r="G634" s="1"/>
      <c r="H634" s="1"/>
    </row>
    <row r="635" spans="2:8" ht="14.25" customHeight="1" x14ac:dyDescent="0.25">
      <c r="B635" s="1"/>
      <c r="C635" s="1"/>
      <c r="D635" s="1"/>
      <c r="G635" s="1"/>
      <c r="H635" s="1"/>
    </row>
    <row r="636" spans="2:8" ht="14.25" customHeight="1" x14ac:dyDescent="0.25">
      <c r="B636" s="1"/>
      <c r="C636" s="1"/>
      <c r="D636" s="1"/>
      <c r="G636" s="1"/>
      <c r="H636" s="1"/>
    </row>
    <row r="637" spans="2:8" ht="14.25" customHeight="1" x14ac:dyDescent="0.25">
      <c r="B637" s="1"/>
      <c r="C637" s="1"/>
      <c r="D637" s="1"/>
      <c r="G637" s="1"/>
      <c r="H637" s="1"/>
    </row>
    <row r="638" spans="2:8" ht="14.25" customHeight="1" x14ac:dyDescent="0.25">
      <c r="B638" s="1"/>
      <c r="C638" s="1"/>
      <c r="D638" s="1"/>
      <c r="G638" s="1"/>
      <c r="H638" s="1"/>
    </row>
    <row r="639" spans="2:8" ht="14.25" customHeight="1" x14ac:dyDescent="0.25">
      <c r="B639" s="1"/>
      <c r="C639" s="1"/>
      <c r="D639" s="1"/>
      <c r="G639" s="1"/>
      <c r="H639" s="1"/>
    </row>
    <row r="640" spans="2:8" ht="14.25" customHeight="1" x14ac:dyDescent="0.25">
      <c r="B640" s="1"/>
      <c r="C640" s="1"/>
      <c r="D640" s="1"/>
      <c r="G640" s="1"/>
      <c r="H640" s="1"/>
    </row>
    <row r="641" spans="2:8" ht="14.25" customHeight="1" x14ac:dyDescent="0.25">
      <c r="B641" s="1"/>
      <c r="C641" s="1"/>
      <c r="D641" s="1"/>
      <c r="G641" s="1"/>
      <c r="H641" s="1"/>
    </row>
    <row r="642" spans="2:8" ht="14.25" customHeight="1" x14ac:dyDescent="0.25">
      <c r="B642" s="1"/>
      <c r="C642" s="1"/>
      <c r="D642" s="1"/>
      <c r="G642" s="1"/>
      <c r="H642" s="1"/>
    </row>
    <row r="643" spans="2:8" ht="14.25" customHeight="1" x14ac:dyDescent="0.25">
      <c r="B643" s="1"/>
      <c r="C643" s="1"/>
      <c r="D643" s="1"/>
      <c r="G643" s="1"/>
      <c r="H643" s="1"/>
    </row>
    <row r="644" spans="2:8" ht="14.25" customHeight="1" x14ac:dyDescent="0.25">
      <c r="B644" s="1"/>
      <c r="C644" s="1"/>
      <c r="D644" s="1"/>
      <c r="G644" s="1"/>
      <c r="H644" s="1"/>
    </row>
    <row r="645" spans="2:8" ht="14.25" customHeight="1" x14ac:dyDescent="0.25">
      <c r="B645" s="1"/>
      <c r="C645" s="1"/>
      <c r="D645" s="1"/>
      <c r="G645" s="1"/>
      <c r="H645" s="1"/>
    </row>
    <row r="646" spans="2:8" ht="14.25" customHeight="1" x14ac:dyDescent="0.25">
      <c r="B646" s="1"/>
      <c r="C646" s="1"/>
      <c r="D646" s="1"/>
      <c r="G646" s="1"/>
      <c r="H646" s="1"/>
    </row>
    <row r="647" spans="2:8" ht="14.25" customHeight="1" x14ac:dyDescent="0.25">
      <c r="B647" s="1"/>
      <c r="C647" s="1"/>
      <c r="D647" s="1"/>
      <c r="G647" s="1"/>
      <c r="H647" s="1"/>
    </row>
    <row r="648" spans="2:8" ht="14.25" customHeight="1" x14ac:dyDescent="0.25">
      <c r="B648" s="1"/>
      <c r="C648" s="1"/>
      <c r="D648" s="1"/>
      <c r="G648" s="1"/>
      <c r="H648" s="1"/>
    </row>
    <row r="649" spans="2:8" ht="14.25" customHeight="1" x14ac:dyDescent="0.25">
      <c r="B649" s="1"/>
      <c r="C649" s="1"/>
      <c r="D649" s="1"/>
      <c r="G649" s="1"/>
      <c r="H649" s="1"/>
    </row>
    <row r="650" spans="2:8" ht="14.25" customHeight="1" x14ac:dyDescent="0.25">
      <c r="B650" s="1"/>
      <c r="C650" s="1"/>
      <c r="D650" s="1"/>
      <c r="G650" s="1"/>
      <c r="H650" s="1"/>
    </row>
    <row r="651" spans="2:8" ht="14.25" customHeight="1" x14ac:dyDescent="0.25">
      <c r="B651" s="1"/>
      <c r="C651" s="1"/>
      <c r="D651" s="1"/>
      <c r="G651" s="1"/>
      <c r="H651" s="1"/>
    </row>
    <row r="652" spans="2:8" ht="14.25" customHeight="1" x14ac:dyDescent="0.25">
      <c r="B652" s="1"/>
      <c r="C652" s="1"/>
      <c r="D652" s="1"/>
      <c r="G652" s="1"/>
      <c r="H652" s="1"/>
    </row>
    <row r="653" spans="2:8" ht="14.25" customHeight="1" x14ac:dyDescent="0.25">
      <c r="B653" s="1"/>
      <c r="C653" s="1"/>
      <c r="D653" s="1"/>
      <c r="G653" s="1"/>
      <c r="H653" s="1"/>
    </row>
    <row r="654" spans="2:8" ht="14.25" customHeight="1" x14ac:dyDescent="0.25">
      <c r="B654" s="1"/>
      <c r="C654" s="1"/>
      <c r="D654" s="1"/>
      <c r="G654" s="1"/>
      <c r="H654" s="1"/>
    </row>
    <row r="655" spans="2:8" ht="14.25" customHeight="1" x14ac:dyDescent="0.25">
      <c r="B655" s="1"/>
      <c r="C655" s="1"/>
      <c r="D655" s="1"/>
      <c r="G655" s="1"/>
      <c r="H655" s="1"/>
    </row>
    <row r="656" spans="2:8" ht="14.25" customHeight="1" x14ac:dyDescent="0.25">
      <c r="B656" s="1"/>
      <c r="C656" s="1"/>
      <c r="D656" s="1"/>
      <c r="G656" s="1"/>
      <c r="H656" s="1"/>
    </row>
    <row r="657" spans="2:8" ht="14.25" customHeight="1" x14ac:dyDescent="0.25">
      <c r="B657" s="1"/>
      <c r="C657" s="1"/>
      <c r="D657" s="1"/>
      <c r="G657" s="1"/>
      <c r="H657" s="1"/>
    </row>
    <row r="658" spans="2:8" ht="14.25" customHeight="1" x14ac:dyDescent="0.25">
      <c r="B658" s="1"/>
      <c r="C658" s="1"/>
      <c r="D658" s="1"/>
      <c r="G658" s="1"/>
      <c r="H658" s="1"/>
    </row>
    <row r="659" spans="2:8" ht="14.25" customHeight="1" x14ac:dyDescent="0.25">
      <c r="B659" s="1"/>
      <c r="C659" s="1"/>
      <c r="D659" s="1"/>
      <c r="G659" s="1"/>
      <c r="H659" s="1"/>
    </row>
    <row r="660" spans="2:8" ht="14.25" customHeight="1" x14ac:dyDescent="0.25">
      <c r="B660" s="1"/>
      <c r="C660" s="1"/>
      <c r="D660" s="1"/>
      <c r="G660" s="1"/>
      <c r="H660" s="1"/>
    </row>
    <row r="661" spans="2:8" ht="14.25" customHeight="1" x14ac:dyDescent="0.25">
      <c r="B661" s="1"/>
      <c r="C661" s="1"/>
      <c r="D661" s="1"/>
      <c r="G661" s="1"/>
      <c r="H661" s="1"/>
    </row>
    <row r="662" spans="2:8" ht="14.25" customHeight="1" x14ac:dyDescent="0.25">
      <c r="B662" s="1"/>
      <c r="C662" s="1"/>
      <c r="D662" s="1"/>
      <c r="G662" s="1"/>
      <c r="H662" s="1"/>
    </row>
    <row r="663" spans="2:8" ht="14.25" customHeight="1" x14ac:dyDescent="0.25">
      <c r="B663" s="1"/>
      <c r="C663" s="1"/>
      <c r="D663" s="1"/>
      <c r="G663" s="1"/>
      <c r="H663" s="1"/>
    </row>
    <row r="664" spans="2:8" ht="14.25" customHeight="1" x14ac:dyDescent="0.25">
      <c r="B664" s="1"/>
      <c r="C664" s="1"/>
      <c r="D664" s="1"/>
      <c r="G664" s="1"/>
      <c r="H664" s="1"/>
    </row>
    <row r="665" spans="2:8" ht="14.25" customHeight="1" x14ac:dyDescent="0.25">
      <c r="B665" s="1"/>
      <c r="C665" s="1"/>
      <c r="D665" s="1"/>
      <c r="G665" s="1"/>
      <c r="H665" s="1"/>
    </row>
    <row r="666" spans="2:8" ht="14.25" customHeight="1" x14ac:dyDescent="0.25">
      <c r="B666" s="1"/>
      <c r="C666" s="1"/>
      <c r="D666" s="1"/>
      <c r="G666" s="1"/>
      <c r="H666" s="1"/>
    </row>
    <row r="667" spans="2:8" ht="14.25" customHeight="1" x14ac:dyDescent="0.25">
      <c r="B667" s="1"/>
      <c r="C667" s="1"/>
      <c r="D667" s="1"/>
      <c r="G667" s="1"/>
      <c r="H667" s="1"/>
    </row>
    <row r="668" spans="2:8" ht="14.25" customHeight="1" x14ac:dyDescent="0.25">
      <c r="B668" s="1"/>
      <c r="C668" s="1"/>
      <c r="D668" s="1"/>
      <c r="G668" s="1"/>
      <c r="H668" s="1"/>
    </row>
    <row r="669" spans="2:8" ht="14.25" customHeight="1" x14ac:dyDescent="0.25">
      <c r="B669" s="1"/>
      <c r="C669" s="1"/>
      <c r="D669" s="1"/>
      <c r="G669" s="1"/>
      <c r="H669" s="1"/>
    </row>
    <row r="670" spans="2:8" ht="14.25" customHeight="1" x14ac:dyDescent="0.25">
      <c r="B670" s="1"/>
      <c r="C670" s="1"/>
      <c r="D670" s="1"/>
      <c r="G670" s="1"/>
      <c r="H670" s="1"/>
    </row>
    <row r="671" spans="2:8" ht="14.25" customHeight="1" x14ac:dyDescent="0.25">
      <c r="B671" s="1"/>
      <c r="C671" s="1"/>
      <c r="D671" s="1"/>
      <c r="G671" s="1"/>
      <c r="H671" s="1"/>
    </row>
    <row r="672" spans="2:8" ht="14.25" customHeight="1" x14ac:dyDescent="0.25">
      <c r="B672" s="1"/>
      <c r="C672" s="1"/>
      <c r="D672" s="1"/>
      <c r="G672" s="1"/>
      <c r="H672" s="1"/>
    </row>
    <row r="673" spans="2:8" ht="14.25" customHeight="1" x14ac:dyDescent="0.25">
      <c r="B673" s="1"/>
      <c r="C673" s="1"/>
      <c r="D673" s="1"/>
      <c r="G673" s="1"/>
      <c r="H673" s="1"/>
    </row>
    <row r="674" spans="2:8" ht="14.25" customHeight="1" x14ac:dyDescent="0.25">
      <c r="B674" s="1"/>
      <c r="C674" s="1"/>
      <c r="D674" s="1"/>
      <c r="G674" s="1"/>
      <c r="H674" s="1"/>
    </row>
    <row r="675" spans="2:8" ht="14.25" customHeight="1" x14ac:dyDescent="0.25">
      <c r="B675" s="1"/>
      <c r="C675" s="1"/>
      <c r="D675" s="1"/>
      <c r="G675" s="1"/>
      <c r="H675" s="1"/>
    </row>
    <row r="676" spans="2:8" ht="14.25" customHeight="1" x14ac:dyDescent="0.25">
      <c r="B676" s="1"/>
      <c r="C676" s="1"/>
      <c r="D676" s="1"/>
      <c r="G676" s="1"/>
      <c r="H676" s="1"/>
    </row>
    <row r="677" spans="2:8" ht="14.25" customHeight="1" x14ac:dyDescent="0.25">
      <c r="B677" s="1"/>
      <c r="C677" s="1"/>
      <c r="D677" s="1"/>
      <c r="G677" s="1"/>
      <c r="H677" s="1"/>
    </row>
    <row r="678" spans="2:8" ht="14.25" customHeight="1" x14ac:dyDescent="0.25">
      <c r="B678" s="1"/>
      <c r="C678" s="1"/>
      <c r="D678" s="1"/>
      <c r="G678" s="1"/>
      <c r="H678" s="1"/>
    </row>
    <row r="679" spans="2:8" ht="14.25" customHeight="1" x14ac:dyDescent="0.25">
      <c r="B679" s="1"/>
      <c r="C679" s="1"/>
      <c r="D679" s="1"/>
      <c r="G679" s="1"/>
      <c r="H679" s="1"/>
    </row>
    <row r="680" spans="2:8" ht="14.25" customHeight="1" x14ac:dyDescent="0.25">
      <c r="B680" s="1"/>
      <c r="C680" s="1"/>
      <c r="D680" s="1"/>
      <c r="G680" s="1"/>
      <c r="H680" s="1"/>
    </row>
    <row r="681" spans="2:8" ht="14.25" customHeight="1" x14ac:dyDescent="0.25">
      <c r="B681" s="1"/>
      <c r="C681" s="1"/>
      <c r="D681" s="1"/>
      <c r="G681" s="1"/>
      <c r="H681" s="1"/>
    </row>
    <row r="682" spans="2:8" ht="14.25" customHeight="1" x14ac:dyDescent="0.25">
      <c r="B682" s="1"/>
      <c r="C682" s="1"/>
      <c r="D682" s="1"/>
      <c r="G682" s="1"/>
      <c r="H682" s="1"/>
    </row>
    <row r="683" spans="2:8" ht="14.25" customHeight="1" x14ac:dyDescent="0.25">
      <c r="B683" s="1"/>
      <c r="C683" s="1"/>
      <c r="D683" s="1"/>
      <c r="G683" s="1"/>
      <c r="H683" s="1"/>
    </row>
    <row r="684" spans="2:8" ht="14.25" customHeight="1" x14ac:dyDescent="0.25">
      <c r="B684" s="1"/>
      <c r="C684" s="1"/>
      <c r="D684" s="1"/>
      <c r="G684" s="1"/>
      <c r="H684" s="1"/>
    </row>
    <row r="685" spans="2:8" ht="14.25" customHeight="1" x14ac:dyDescent="0.25">
      <c r="B685" s="1"/>
      <c r="C685" s="1"/>
      <c r="D685" s="1"/>
      <c r="G685" s="1"/>
      <c r="H685" s="1"/>
    </row>
    <row r="686" spans="2:8" ht="14.25" customHeight="1" x14ac:dyDescent="0.25">
      <c r="B686" s="1"/>
      <c r="C686" s="1"/>
      <c r="D686" s="1"/>
      <c r="G686" s="1"/>
      <c r="H686" s="1"/>
    </row>
    <row r="687" spans="2:8" ht="14.25" customHeight="1" x14ac:dyDescent="0.25">
      <c r="B687" s="1"/>
      <c r="C687" s="1"/>
      <c r="D687" s="1"/>
      <c r="G687" s="1"/>
      <c r="H687" s="1"/>
    </row>
    <row r="688" spans="2:8" ht="14.25" customHeight="1" x14ac:dyDescent="0.25">
      <c r="B688" s="1"/>
      <c r="C688" s="1"/>
      <c r="D688" s="1"/>
      <c r="G688" s="1"/>
      <c r="H688" s="1"/>
    </row>
    <row r="689" spans="2:8" ht="14.25" customHeight="1" x14ac:dyDescent="0.25">
      <c r="B689" s="1"/>
      <c r="C689" s="1"/>
      <c r="D689" s="1"/>
      <c r="G689" s="1"/>
      <c r="H689" s="1"/>
    </row>
    <row r="690" spans="2:8" ht="14.25" customHeight="1" x14ac:dyDescent="0.25">
      <c r="B690" s="1"/>
      <c r="C690" s="1"/>
      <c r="D690" s="1"/>
      <c r="G690" s="1"/>
      <c r="H690" s="1"/>
    </row>
    <row r="691" spans="2:8" ht="14.25" customHeight="1" x14ac:dyDescent="0.25">
      <c r="B691" s="1"/>
      <c r="C691" s="1"/>
      <c r="D691" s="1"/>
      <c r="G691" s="1"/>
      <c r="H691" s="1"/>
    </row>
    <row r="692" spans="2:8" ht="14.25" customHeight="1" x14ac:dyDescent="0.25">
      <c r="B692" s="1"/>
      <c r="C692" s="1"/>
      <c r="D692" s="1"/>
      <c r="G692" s="1"/>
      <c r="H692" s="1"/>
    </row>
    <row r="693" spans="2:8" ht="14.25" customHeight="1" x14ac:dyDescent="0.25">
      <c r="B693" s="1"/>
      <c r="C693" s="1"/>
      <c r="D693" s="1"/>
      <c r="G693" s="1"/>
      <c r="H693" s="1"/>
    </row>
    <row r="694" spans="2:8" ht="14.25" customHeight="1" x14ac:dyDescent="0.25">
      <c r="B694" s="1"/>
      <c r="C694" s="1"/>
      <c r="D694" s="1"/>
      <c r="G694" s="1"/>
      <c r="H694" s="1"/>
    </row>
    <row r="695" spans="2:8" ht="14.25" customHeight="1" x14ac:dyDescent="0.25">
      <c r="B695" s="1"/>
      <c r="C695" s="1"/>
      <c r="D695" s="1"/>
      <c r="G695" s="1"/>
      <c r="H695" s="1"/>
    </row>
    <row r="696" spans="2:8" ht="14.25" customHeight="1" x14ac:dyDescent="0.25">
      <c r="B696" s="1"/>
      <c r="C696" s="1"/>
      <c r="D696" s="1"/>
      <c r="G696" s="1"/>
      <c r="H696" s="1"/>
    </row>
    <row r="697" spans="2:8" ht="14.25" customHeight="1" x14ac:dyDescent="0.25">
      <c r="B697" s="1"/>
      <c r="C697" s="1"/>
      <c r="D697" s="1"/>
      <c r="G697" s="1"/>
      <c r="H697" s="1"/>
    </row>
    <row r="698" spans="2:8" ht="14.25" customHeight="1" x14ac:dyDescent="0.25">
      <c r="B698" s="1"/>
      <c r="C698" s="1"/>
      <c r="D698" s="1"/>
      <c r="G698" s="1"/>
      <c r="H698" s="1"/>
    </row>
    <row r="699" spans="2:8" ht="14.25" customHeight="1" x14ac:dyDescent="0.25">
      <c r="B699" s="1"/>
      <c r="C699" s="1"/>
      <c r="D699" s="1"/>
      <c r="G699" s="1"/>
      <c r="H699" s="1"/>
    </row>
    <row r="700" spans="2:8" ht="14.25" customHeight="1" x14ac:dyDescent="0.25">
      <c r="B700" s="1"/>
      <c r="C700" s="1"/>
      <c r="D700" s="1"/>
      <c r="G700" s="1"/>
      <c r="H700" s="1"/>
    </row>
    <row r="701" spans="2:8" ht="14.25" customHeight="1" x14ac:dyDescent="0.25">
      <c r="B701" s="1"/>
      <c r="C701" s="1"/>
      <c r="D701" s="1"/>
      <c r="G701" s="1"/>
      <c r="H701" s="1"/>
    </row>
    <row r="702" spans="2:8" ht="14.25" customHeight="1" x14ac:dyDescent="0.25">
      <c r="B702" s="1"/>
      <c r="C702" s="1"/>
      <c r="D702" s="1"/>
      <c r="G702" s="1"/>
      <c r="H702" s="1"/>
    </row>
    <row r="703" spans="2:8" ht="14.25" customHeight="1" x14ac:dyDescent="0.25">
      <c r="B703" s="1"/>
      <c r="C703" s="1"/>
      <c r="D703" s="1"/>
      <c r="G703" s="1"/>
      <c r="H703" s="1"/>
    </row>
    <row r="704" spans="2:8" ht="14.25" customHeight="1" x14ac:dyDescent="0.25">
      <c r="B704" s="1"/>
      <c r="C704" s="1"/>
      <c r="D704" s="1"/>
      <c r="G704" s="1"/>
      <c r="H704" s="1"/>
    </row>
    <row r="705" spans="2:8" ht="14.25" customHeight="1" x14ac:dyDescent="0.25">
      <c r="B705" s="1"/>
      <c r="C705" s="1"/>
      <c r="D705" s="1"/>
      <c r="G705" s="1"/>
      <c r="H705" s="1"/>
    </row>
    <row r="706" spans="2:8" ht="14.25" customHeight="1" x14ac:dyDescent="0.25">
      <c r="B706" s="1"/>
      <c r="C706" s="1"/>
      <c r="D706" s="1"/>
      <c r="G706" s="1"/>
      <c r="H706" s="1"/>
    </row>
    <row r="707" spans="2:8" ht="14.25" customHeight="1" x14ac:dyDescent="0.25">
      <c r="B707" s="1"/>
      <c r="C707" s="1"/>
      <c r="D707" s="1"/>
      <c r="G707" s="1"/>
      <c r="H707" s="1"/>
    </row>
    <row r="708" spans="2:8" ht="14.25" customHeight="1" x14ac:dyDescent="0.25">
      <c r="B708" s="1"/>
      <c r="C708" s="1"/>
      <c r="D708" s="1"/>
      <c r="G708" s="1"/>
      <c r="H708" s="1"/>
    </row>
    <row r="709" spans="2:8" ht="14.25" customHeight="1" x14ac:dyDescent="0.25">
      <c r="B709" s="1"/>
      <c r="C709" s="1"/>
      <c r="D709" s="1"/>
      <c r="G709" s="1"/>
      <c r="H709" s="1"/>
    </row>
    <row r="710" spans="2:8" ht="14.25" customHeight="1" x14ac:dyDescent="0.25">
      <c r="B710" s="1"/>
      <c r="C710" s="1"/>
      <c r="D710" s="1"/>
      <c r="G710" s="1"/>
      <c r="H710" s="1"/>
    </row>
    <row r="711" spans="2:8" ht="14.25" customHeight="1" x14ac:dyDescent="0.25">
      <c r="B711" s="1"/>
      <c r="C711" s="1"/>
      <c r="D711" s="1"/>
      <c r="G711" s="1"/>
      <c r="H711" s="1"/>
    </row>
    <row r="712" spans="2:8" ht="14.25" customHeight="1" x14ac:dyDescent="0.25">
      <c r="B712" s="1"/>
      <c r="C712" s="1"/>
      <c r="D712" s="1"/>
      <c r="G712" s="1"/>
      <c r="H712" s="1"/>
    </row>
    <row r="713" spans="2:8" ht="14.25" customHeight="1" x14ac:dyDescent="0.25">
      <c r="B713" s="1"/>
      <c r="C713" s="1"/>
      <c r="D713" s="1"/>
      <c r="G713" s="1"/>
      <c r="H713" s="1"/>
    </row>
    <row r="714" spans="2:8" ht="14.25" customHeight="1" x14ac:dyDescent="0.25">
      <c r="B714" s="1"/>
      <c r="C714" s="1"/>
      <c r="D714" s="1"/>
      <c r="G714" s="1"/>
      <c r="H714" s="1"/>
    </row>
    <row r="715" spans="2:8" ht="14.25" customHeight="1" x14ac:dyDescent="0.25">
      <c r="B715" s="1"/>
      <c r="C715" s="1"/>
      <c r="D715" s="1"/>
      <c r="G715" s="1"/>
      <c r="H715" s="1"/>
    </row>
    <row r="716" spans="2:8" ht="14.25" customHeight="1" x14ac:dyDescent="0.25">
      <c r="B716" s="1"/>
      <c r="C716" s="1"/>
      <c r="D716" s="1"/>
      <c r="G716" s="1"/>
      <c r="H716" s="1"/>
    </row>
    <row r="717" spans="2:8" ht="14.25" customHeight="1" x14ac:dyDescent="0.25">
      <c r="B717" s="1"/>
      <c r="C717" s="1"/>
      <c r="D717" s="1"/>
      <c r="G717" s="1"/>
      <c r="H717" s="1"/>
    </row>
    <row r="718" spans="2:8" ht="14.25" customHeight="1" x14ac:dyDescent="0.25">
      <c r="B718" s="1"/>
      <c r="C718" s="1"/>
      <c r="D718" s="1"/>
      <c r="G718" s="1"/>
      <c r="H718" s="1"/>
    </row>
    <row r="719" spans="2:8" ht="14.25" customHeight="1" x14ac:dyDescent="0.25">
      <c r="B719" s="1"/>
      <c r="C719" s="1"/>
      <c r="D719" s="1"/>
      <c r="G719" s="1"/>
      <c r="H719" s="1"/>
    </row>
    <row r="720" spans="2:8" ht="14.25" customHeight="1" x14ac:dyDescent="0.25">
      <c r="B720" s="1"/>
      <c r="C720" s="1"/>
      <c r="D720" s="1"/>
      <c r="G720" s="1"/>
      <c r="H720" s="1"/>
    </row>
    <row r="721" spans="2:8" ht="14.25" customHeight="1" x14ac:dyDescent="0.25">
      <c r="B721" s="1"/>
      <c r="C721" s="1"/>
      <c r="D721" s="1"/>
      <c r="G721" s="1"/>
      <c r="H721" s="1"/>
    </row>
    <row r="722" spans="2:8" ht="14.25" customHeight="1" x14ac:dyDescent="0.25">
      <c r="B722" s="1"/>
      <c r="C722" s="1"/>
      <c r="D722" s="1"/>
      <c r="G722" s="1"/>
      <c r="H722" s="1"/>
    </row>
    <row r="723" spans="2:8" ht="14.25" customHeight="1" x14ac:dyDescent="0.25">
      <c r="B723" s="1"/>
      <c r="C723" s="1"/>
      <c r="D723" s="1"/>
      <c r="G723" s="1"/>
      <c r="H723" s="1"/>
    </row>
    <row r="724" spans="2:8" ht="14.25" customHeight="1" x14ac:dyDescent="0.25">
      <c r="B724" s="1"/>
      <c r="C724" s="1"/>
      <c r="D724" s="1"/>
      <c r="G724" s="1"/>
      <c r="H724" s="1"/>
    </row>
    <row r="725" spans="2:8" ht="14.25" customHeight="1" x14ac:dyDescent="0.25">
      <c r="B725" s="1"/>
      <c r="C725" s="1"/>
      <c r="D725" s="1"/>
      <c r="G725" s="1"/>
      <c r="H725" s="1"/>
    </row>
    <row r="726" spans="2:8" ht="14.25" customHeight="1" x14ac:dyDescent="0.25">
      <c r="B726" s="1"/>
      <c r="C726" s="1"/>
      <c r="D726" s="1"/>
      <c r="G726" s="1"/>
      <c r="H726" s="1"/>
    </row>
    <row r="727" spans="2:8" ht="14.25" customHeight="1" x14ac:dyDescent="0.25">
      <c r="B727" s="1"/>
      <c r="C727" s="1"/>
      <c r="D727" s="1"/>
      <c r="G727" s="1"/>
      <c r="H727" s="1"/>
    </row>
    <row r="728" spans="2:8" ht="14.25" customHeight="1" x14ac:dyDescent="0.25">
      <c r="B728" s="1"/>
      <c r="C728" s="1"/>
      <c r="D728" s="1"/>
      <c r="G728" s="1"/>
      <c r="H728" s="1"/>
    </row>
    <row r="729" spans="2:8" ht="14.25" customHeight="1" x14ac:dyDescent="0.25">
      <c r="B729" s="1"/>
      <c r="C729" s="1"/>
      <c r="D729" s="1"/>
      <c r="G729" s="1"/>
      <c r="H729" s="1"/>
    </row>
    <row r="730" spans="2:8" ht="14.25" customHeight="1" x14ac:dyDescent="0.25">
      <c r="B730" s="1"/>
      <c r="C730" s="1"/>
      <c r="D730" s="1"/>
      <c r="G730" s="1"/>
      <c r="H730" s="1"/>
    </row>
    <row r="731" spans="2:8" ht="14.25" customHeight="1" x14ac:dyDescent="0.25">
      <c r="B731" s="1"/>
      <c r="C731" s="1"/>
      <c r="D731" s="1"/>
      <c r="G731" s="1"/>
      <c r="H731" s="1"/>
    </row>
    <row r="732" spans="2:8" ht="14.25" customHeight="1" x14ac:dyDescent="0.25">
      <c r="B732" s="1"/>
      <c r="C732" s="1"/>
      <c r="D732" s="1"/>
      <c r="G732" s="1"/>
      <c r="H732" s="1"/>
    </row>
    <row r="733" spans="2:8" ht="14.25" customHeight="1" x14ac:dyDescent="0.25">
      <c r="B733" s="1"/>
      <c r="C733" s="1"/>
      <c r="D733" s="1"/>
      <c r="G733" s="1"/>
      <c r="H733" s="1"/>
    </row>
    <row r="734" spans="2:8" ht="14.25" customHeight="1" x14ac:dyDescent="0.25">
      <c r="B734" s="1"/>
      <c r="C734" s="1"/>
      <c r="D734" s="1"/>
      <c r="G734" s="1"/>
      <c r="H734" s="1"/>
    </row>
    <row r="735" spans="2:8" ht="14.25" customHeight="1" x14ac:dyDescent="0.25">
      <c r="B735" s="1"/>
      <c r="C735" s="1"/>
      <c r="D735" s="1"/>
      <c r="G735" s="1"/>
      <c r="H735" s="1"/>
    </row>
    <row r="736" spans="2:8" ht="14.25" customHeight="1" x14ac:dyDescent="0.25">
      <c r="B736" s="1"/>
      <c r="C736" s="1"/>
      <c r="D736" s="1"/>
      <c r="G736" s="1"/>
      <c r="H736" s="1"/>
    </row>
    <row r="737" spans="2:8" ht="14.25" customHeight="1" x14ac:dyDescent="0.25">
      <c r="B737" s="1"/>
      <c r="C737" s="1"/>
      <c r="D737" s="1"/>
      <c r="G737" s="1"/>
      <c r="H737" s="1"/>
    </row>
    <row r="738" spans="2:8" ht="14.25" customHeight="1" x14ac:dyDescent="0.25">
      <c r="B738" s="1"/>
      <c r="C738" s="1"/>
      <c r="D738" s="1"/>
      <c r="G738" s="1"/>
      <c r="H738" s="1"/>
    </row>
    <row r="739" spans="2:8" ht="14.25" customHeight="1" x14ac:dyDescent="0.25">
      <c r="B739" s="1"/>
      <c r="C739" s="1"/>
      <c r="D739" s="1"/>
      <c r="G739" s="1"/>
      <c r="H739" s="1"/>
    </row>
    <row r="740" spans="2:8" ht="14.25" customHeight="1" x14ac:dyDescent="0.25">
      <c r="B740" s="1"/>
      <c r="C740" s="1"/>
      <c r="D740" s="1"/>
      <c r="G740" s="1"/>
      <c r="H740" s="1"/>
    </row>
    <row r="741" spans="2:8" ht="14.25" customHeight="1" x14ac:dyDescent="0.25">
      <c r="B741" s="1"/>
      <c r="C741" s="1"/>
      <c r="D741" s="1"/>
      <c r="G741" s="1"/>
      <c r="H741" s="1"/>
    </row>
    <row r="742" spans="2:8" ht="14.25" customHeight="1" x14ac:dyDescent="0.25">
      <c r="B742" s="1"/>
      <c r="C742" s="1"/>
      <c r="D742" s="1"/>
      <c r="G742" s="1"/>
      <c r="H742" s="1"/>
    </row>
    <row r="743" spans="2:8" ht="14.25" customHeight="1" x14ac:dyDescent="0.25">
      <c r="B743" s="1"/>
      <c r="C743" s="1"/>
      <c r="D743" s="1"/>
      <c r="G743" s="1"/>
      <c r="H743" s="1"/>
    </row>
    <row r="744" spans="2:8" ht="14.25" customHeight="1" x14ac:dyDescent="0.25">
      <c r="B744" s="1"/>
      <c r="C744" s="1"/>
      <c r="D744" s="1"/>
      <c r="G744" s="1"/>
      <c r="H744" s="1"/>
    </row>
    <row r="745" spans="2:8" ht="14.25" customHeight="1" x14ac:dyDescent="0.25">
      <c r="B745" s="1"/>
      <c r="C745" s="1"/>
      <c r="D745" s="1"/>
      <c r="G745" s="1"/>
      <c r="H745" s="1"/>
    </row>
    <row r="746" spans="2:8" ht="14.25" customHeight="1" x14ac:dyDescent="0.25">
      <c r="B746" s="1"/>
      <c r="C746" s="1"/>
      <c r="D746" s="1"/>
      <c r="G746" s="1"/>
      <c r="H746" s="1"/>
    </row>
    <row r="747" spans="2:8" ht="14.25" customHeight="1" x14ac:dyDescent="0.25">
      <c r="B747" s="1"/>
      <c r="C747" s="1"/>
      <c r="D747" s="1"/>
      <c r="G747" s="1"/>
      <c r="H747" s="1"/>
    </row>
    <row r="748" spans="2:8" ht="14.25" customHeight="1" x14ac:dyDescent="0.25">
      <c r="B748" s="1"/>
      <c r="C748" s="1"/>
      <c r="D748" s="1"/>
      <c r="G748" s="1"/>
      <c r="H748" s="1"/>
    </row>
    <row r="749" spans="2:8" ht="14.25" customHeight="1" x14ac:dyDescent="0.25">
      <c r="B749" s="1"/>
      <c r="C749" s="1"/>
      <c r="D749" s="1"/>
      <c r="G749" s="1"/>
      <c r="H749" s="1"/>
    </row>
    <row r="750" spans="2:8" ht="14.25" customHeight="1" x14ac:dyDescent="0.25">
      <c r="B750" s="1"/>
      <c r="C750" s="1"/>
      <c r="D750" s="1"/>
      <c r="G750" s="1"/>
      <c r="H750" s="1"/>
    </row>
    <row r="751" spans="2:8" ht="14.25" customHeight="1" x14ac:dyDescent="0.25">
      <c r="B751" s="1"/>
      <c r="C751" s="1"/>
      <c r="D751" s="1"/>
      <c r="G751" s="1"/>
      <c r="H751" s="1"/>
    </row>
    <row r="752" spans="2:8" ht="14.25" customHeight="1" x14ac:dyDescent="0.25">
      <c r="B752" s="1"/>
      <c r="C752" s="1"/>
      <c r="D752" s="1"/>
      <c r="G752" s="1"/>
      <c r="H752" s="1"/>
    </row>
    <row r="753" spans="2:8" ht="14.25" customHeight="1" x14ac:dyDescent="0.25">
      <c r="B753" s="1"/>
      <c r="C753" s="1"/>
      <c r="D753" s="1"/>
      <c r="G753" s="1"/>
      <c r="H753" s="1"/>
    </row>
    <row r="754" spans="2:8" ht="14.25" customHeight="1" x14ac:dyDescent="0.25">
      <c r="B754" s="1"/>
      <c r="C754" s="1"/>
      <c r="D754" s="1"/>
      <c r="G754" s="1"/>
      <c r="H754" s="1"/>
    </row>
    <row r="755" spans="2:8" ht="14.25" customHeight="1" x14ac:dyDescent="0.25">
      <c r="B755" s="1"/>
      <c r="C755" s="1"/>
      <c r="D755" s="1"/>
      <c r="G755" s="1"/>
      <c r="H755" s="1"/>
    </row>
    <row r="756" spans="2:8" ht="14.25" customHeight="1" x14ac:dyDescent="0.25">
      <c r="B756" s="1"/>
      <c r="C756" s="1"/>
      <c r="D756" s="1"/>
      <c r="G756" s="1"/>
      <c r="H756" s="1"/>
    </row>
    <row r="757" spans="2:8" ht="14.25" customHeight="1" x14ac:dyDescent="0.25">
      <c r="B757" s="1"/>
      <c r="C757" s="1"/>
      <c r="D757" s="1"/>
      <c r="G757" s="1"/>
      <c r="H757" s="1"/>
    </row>
    <row r="758" spans="2:8" ht="14.25" customHeight="1" x14ac:dyDescent="0.25">
      <c r="B758" s="1"/>
      <c r="C758" s="1"/>
      <c r="D758" s="1"/>
      <c r="G758" s="1"/>
      <c r="H758" s="1"/>
    </row>
    <row r="759" spans="2:8" ht="14.25" customHeight="1" x14ac:dyDescent="0.25">
      <c r="B759" s="1"/>
      <c r="C759" s="1"/>
      <c r="D759" s="1"/>
      <c r="G759" s="1"/>
      <c r="H759" s="1"/>
    </row>
    <row r="760" spans="2:8" ht="14.25" customHeight="1" x14ac:dyDescent="0.25">
      <c r="B760" s="1"/>
      <c r="C760" s="1"/>
      <c r="D760" s="1"/>
      <c r="G760" s="1"/>
      <c r="H760" s="1"/>
    </row>
    <row r="761" spans="2:8" ht="14.25" customHeight="1" x14ac:dyDescent="0.25">
      <c r="B761" s="1"/>
      <c r="C761" s="1"/>
      <c r="D761" s="1"/>
      <c r="G761" s="1"/>
      <c r="H761" s="1"/>
    </row>
    <row r="762" spans="2:8" ht="14.25" customHeight="1" x14ac:dyDescent="0.25">
      <c r="B762" s="1"/>
      <c r="C762" s="1"/>
      <c r="D762" s="1"/>
      <c r="G762" s="1"/>
      <c r="H762" s="1"/>
    </row>
    <row r="763" spans="2:8" ht="14.25" customHeight="1" x14ac:dyDescent="0.25">
      <c r="B763" s="1"/>
      <c r="C763" s="1"/>
      <c r="D763" s="1"/>
      <c r="G763" s="1"/>
      <c r="H763" s="1"/>
    </row>
    <row r="764" spans="2:8" ht="14.25" customHeight="1" x14ac:dyDescent="0.25">
      <c r="B764" s="1"/>
      <c r="C764" s="1"/>
      <c r="D764" s="1"/>
      <c r="G764" s="1"/>
      <c r="H764" s="1"/>
    </row>
    <row r="765" spans="2:8" ht="14.25" customHeight="1" x14ac:dyDescent="0.25">
      <c r="B765" s="1"/>
      <c r="C765" s="1"/>
      <c r="D765" s="1"/>
      <c r="G765" s="1"/>
      <c r="H765" s="1"/>
    </row>
    <row r="766" spans="2:8" ht="14.25" customHeight="1" x14ac:dyDescent="0.25">
      <c r="B766" s="1"/>
      <c r="C766" s="1"/>
      <c r="D766" s="1"/>
      <c r="G766" s="1"/>
      <c r="H766" s="1"/>
    </row>
    <row r="767" spans="2:8" ht="14.25" customHeight="1" x14ac:dyDescent="0.25">
      <c r="B767" s="1"/>
      <c r="C767" s="1"/>
      <c r="D767" s="1"/>
      <c r="G767" s="1"/>
      <c r="H767" s="1"/>
    </row>
    <row r="768" spans="2:8" ht="14.25" customHeight="1" x14ac:dyDescent="0.25">
      <c r="B768" s="1"/>
      <c r="C768" s="1"/>
      <c r="D768" s="1"/>
      <c r="G768" s="1"/>
      <c r="H768" s="1"/>
    </row>
    <row r="769" spans="2:8" ht="14.25" customHeight="1" x14ac:dyDescent="0.25">
      <c r="B769" s="1"/>
      <c r="C769" s="1"/>
      <c r="D769" s="1"/>
      <c r="G769" s="1"/>
      <c r="H769" s="1"/>
    </row>
    <row r="770" spans="2:8" ht="14.25" customHeight="1" x14ac:dyDescent="0.25">
      <c r="B770" s="1"/>
      <c r="C770" s="1"/>
      <c r="D770" s="1"/>
      <c r="G770" s="1"/>
      <c r="H770" s="1"/>
    </row>
    <row r="771" spans="2:8" ht="14.25" customHeight="1" x14ac:dyDescent="0.25">
      <c r="B771" s="1"/>
      <c r="C771" s="1"/>
      <c r="D771" s="1"/>
      <c r="G771" s="1"/>
      <c r="H771" s="1"/>
    </row>
    <row r="772" spans="2:8" ht="14.25" customHeight="1" x14ac:dyDescent="0.25">
      <c r="B772" s="1"/>
      <c r="C772" s="1"/>
      <c r="D772" s="1"/>
      <c r="G772" s="1"/>
      <c r="H772" s="1"/>
    </row>
    <row r="773" spans="2:8" ht="14.25" customHeight="1" x14ac:dyDescent="0.25">
      <c r="B773" s="1"/>
      <c r="C773" s="1"/>
      <c r="D773" s="1"/>
      <c r="G773" s="1"/>
      <c r="H773" s="1"/>
    </row>
    <row r="774" spans="2:8" ht="14.25" customHeight="1" x14ac:dyDescent="0.25">
      <c r="B774" s="1"/>
      <c r="C774" s="1"/>
      <c r="D774" s="1"/>
      <c r="G774" s="1"/>
      <c r="H774" s="1"/>
    </row>
    <row r="775" spans="2:8" ht="14.25" customHeight="1" x14ac:dyDescent="0.25">
      <c r="B775" s="1"/>
      <c r="C775" s="1"/>
      <c r="D775" s="1"/>
      <c r="G775" s="1"/>
      <c r="H775" s="1"/>
    </row>
    <row r="776" spans="2:8" ht="14.25" customHeight="1" x14ac:dyDescent="0.25">
      <c r="B776" s="1"/>
      <c r="C776" s="1"/>
      <c r="D776" s="1"/>
      <c r="G776" s="1"/>
      <c r="H776" s="1"/>
    </row>
    <row r="777" spans="2:8" ht="14.25" customHeight="1" x14ac:dyDescent="0.25">
      <c r="B777" s="1"/>
      <c r="C777" s="1"/>
      <c r="D777" s="1"/>
      <c r="G777" s="1"/>
      <c r="H777" s="1"/>
    </row>
    <row r="778" spans="2:8" ht="14.25" customHeight="1" x14ac:dyDescent="0.25">
      <c r="B778" s="1"/>
      <c r="C778" s="1"/>
      <c r="D778" s="1"/>
      <c r="G778" s="1"/>
      <c r="H778" s="1"/>
    </row>
    <row r="779" spans="2:8" ht="14.25" customHeight="1" x14ac:dyDescent="0.25">
      <c r="B779" s="1"/>
      <c r="C779" s="1"/>
      <c r="D779" s="1"/>
      <c r="G779" s="1"/>
      <c r="H779" s="1"/>
    </row>
    <row r="780" spans="2:8" ht="14.25" customHeight="1" x14ac:dyDescent="0.25">
      <c r="B780" s="1"/>
      <c r="C780" s="1"/>
      <c r="D780" s="1"/>
      <c r="G780" s="1"/>
      <c r="H780" s="1"/>
    </row>
    <row r="781" spans="2:8" ht="14.25" customHeight="1" x14ac:dyDescent="0.25">
      <c r="B781" s="1"/>
      <c r="C781" s="1"/>
      <c r="D781" s="1"/>
      <c r="G781" s="1"/>
      <c r="H781" s="1"/>
    </row>
    <row r="782" spans="2:8" ht="14.25" customHeight="1" x14ac:dyDescent="0.25">
      <c r="B782" s="1"/>
      <c r="C782" s="1"/>
      <c r="D782" s="1"/>
      <c r="G782" s="1"/>
      <c r="H782" s="1"/>
    </row>
    <row r="783" spans="2:8" ht="14.25" customHeight="1" x14ac:dyDescent="0.25">
      <c r="B783" s="1"/>
      <c r="C783" s="1"/>
      <c r="D783" s="1"/>
      <c r="G783" s="1"/>
      <c r="H783" s="1"/>
    </row>
    <row r="784" spans="2:8" ht="14.25" customHeight="1" x14ac:dyDescent="0.25">
      <c r="B784" s="1"/>
      <c r="C784" s="1"/>
      <c r="D784" s="1"/>
      <c r="G784" s="1"/>
      <c r="H784" s="1"/>
    </row>
    <row r="785" spans="2:8" ht="14.25" customHeight="1" x14ac:dyDescent="0.25">
      <c r="B785" s="1"/>
      <c r="C785" s="1"/>
      <c r="D785" s="1"/>
      <c r="G785" s="1"/>
      <c r="H785" s="1"/>
    </row>
    <row r="786" spans="2:8" ht="14.25" customHeight="1" x14ac:dyDescent="0.25">
      <c r="B786" s="1"/>
      <c r="C786" s="1"/>
      <c r="D786" s="1"/>
      <c r="G786" s="1"/>
      <c r="H786" s="1"/>
    </row>
    <row r="787" spans="2:8" ht="14.25" customHeight="1" x14ac:dyDescent="0.25">
      <c r="B787" s="1"/>
      <c r="C787" s="1"/>
      <c r="D787" s="1"/>
      <c r="G787" s="1"/>
      <c r="H787" s="1"/>
    </row>
    <row r="788" spans="2:8" ht="14.25" customHeight="1" x14ac:dyDescent="0.25">
      <c r="B788" s="1"/>
      <c r="C788" s="1"/>
      <c r="D788" s="1"/>
      <c r="G788" s="1"/>
      <c r="H788" s="1"/>
    </row>
    <row r="789" spans="2:8" ht="14.25" customHeight="1" x14ac:dyDescent="0.25">
      <c r="B789" s="1"/>
      <c r="C789" s="1"/>
      <c r="D789" s="1"/>
      <c r="G789" s="1"/>
      <c r="H789" s="1"/>
    </row>
    <row r="790" spans="2:8" ht="14.25" customHeight="1" x14ac:dyDescent="0.25">
      <c r="B790" s="1"/>
      <c r="C790" s="1"/>
      <c r="D790" s="1"/>
      <c r="G790" s="1"/>
      <c r="H790" s="1"/>
    </row>
    <row r="791" spans="2:8" ht="14.25" customHeight="1" x14ac:dyDescent="0.25">
      <c r="B791" s="1"/>
      <c r="C791" s="1"/>
      <c r="D791" s="1"/>
      <c r="G791" s="1"/>
      <c r="H791" s="1"/>
    </row>
    <row r="792" spans="2:8" ht="14.25" customHeight="1" x14ac:dyDescent="0.25">
      <c r="B792" s="1"/>
      <c r="C792" s="1"/>
      <c r="D792" s="1"/>
      <c r="G792" s="1"/>
      <c r="H792" s="1"/>
    </row>
    <row r="793" spans="2:8" ht="14.25" customHeight="1" x14ac:dyDescent="0.25">
      <c r="B793" s="1"/>
      <c r="C793" s="1"/>
      <c r="D793" s="1"/>
      <c r="G793" s="1"/>
      <c r="H793" s="1"/>
    </row>
    <row r="794" spans="2:8" ht="14.25" customHeight="1" x14ac:dyDescent="0.25">
      <c r="B794" s="1"/>
      <c r="C794" s="1"/>
      <c r="D794" s="1"/>
      <c r="G794" s="1"/>
      <c r="H794" s="1"/>
    </row>
    <row r="795" spans="2:8" ht="14.25" customHeight="1" x14ac:dyDescent="0.25">
      <c r="B795" s="1"/>
      <c r="C795" s="1"/>
      <c r="D795" s="1"/>
      <c r="G795" s="1"/>
      <c r="H795" s="1"/>
    </row>
    <row r="796" spans="2:8" ht="14.25" customHeight="1" x14ac:dyDescent="0.25">
      <c r="B796" s="1"/>
      <c r="C796" s="1"/>
      <c r="D796" s="1"/>
      <c r="G796" s="1"/>
      <c r="H796" s="1"/>
    </row>
    <row r="797" spans="2:8" ht="14.25" customHeight="1" x14ac:dyDescent="0.25">
      <c r="B797" s="1"/>
      <c r="C797" s="1"/>
      <c r="D797" s="1"/>
      <c r="G797" s="1"/>
      <c r="H797" s="1"/>
    </row>
    <row r="798" spans="2:8" ht="14.25" customHeight="1" x14ac:dyDescent="0.25">
      <c r="B798" s="1"/>
      <c r="C798" s="1"/>
      <c r="D798" s="1"/>
      <c r="G798" s="1"/>
      <c r="H798" s="1"/>
    </row>
    <row r="799" spans="2:8" ht="14.25" customHeight="1" x14ac:dyDescent="0.25">
      <c r="B799" s="1"/>
      <c r="C799" s="1"/>
      <c r="D799" s="1"/>
      <c r="G799" s="1"/>
      <c r="H799" s="1"/>
    </row>
    <row r="800" spans="2:8" ht="14.25" customHeight="1" x14ac:dyDescent="0.25">
      <c r="B800" s="1"/>
      <c r="C800" s="1"/>
      <c r="D800" s="1"/>
      <c r="G800" s="1"/>
      <c r="H800" s="1"/>
    </row>
    <row r="801" spans="2:8" ht="14.25" customHeight="1" x14ac:dyDescent="0.25">
      <c r="B801" s="1"/>
      <c r="C801" s="1"/>
      <c r="D801" s="1"/>
      <c r="G801" s="1"/>
      <c r="H801" s="1"/>
    </row>
    <row r="802" spans="2:8" ht="14.25" customHeight="1" x14ac:dyDescent="0.25">
      <c r="B802" s="1"/>
      <c r="C802" s="1"/>
      <c r="D802" s="1"/>
      <c r="G802" s="1"/>
      <c r="H802" s="1"/>
    </row>
    <row r="803" spans="2:8" ht="14.25" customHeight="1" x14ac:dyDescent="0.25">
      <c r="B803" s="1"/>
      <c r="C803" s="1"/>
      <c r="D803" s="1"/>
      <c r="G803" s="1"/>
      <c r="H803" s="1"/>
    </row>
    <row r="804" spans="2:8" ht="14.25" customHeight="1" x14ac:dyDescent="0.25">
      <c r="B804" s="1"/>
      <c r="C804" s="1"/>
      <c r="D804" s="1"/>
      <c r="G804" s="1"/>
      <c r="H804" s="1"/>
    </row>
    <row r="805" spans="2:8" ht="14.25" customHeight="1" x14ac:dyDescent="0.25">
      <c r="B805" s="1"/>
      <c r="C805" s="1"/>
      <c r="D805" s="1"/>
      <c r="G805" s="1"/>
      <c r="H805" s="1"/>
    </row>
    <row r="806" spans="2:8" ht="14.25" customHeight="1" x14ac:dyDescent="0.25">
      <c r="B806" s="1"/>
      <c r="C806" s="1"/>
      <c r="D806" s="1"/>
      <c r="G806" s="1"/>
      <c r="H806" s="1"/>
    </row>
    <row r="807" spans="2:8" ht="14.25" customHeight="1" x14ac:dyDescent="0.25">
      <c r="B807" s="1"/>
      <c r="C807" s="1"/>
      <c r="D807" s="1"/>
      <c r="G807" s="1"/>
      <c r="H807" s="1"/>
    </row>
    <row r="808" spans="2:8" ht="14.25" customHeight="1" x14ac:dyDescent="0.25">
      <c r="B808" s="1"/>
      <c r="C808" s="1"/>
      <c r="D808" s="1"/>
      <c r="G808" s="1"/>
      <c r="H808" s="1"/>
    </row>
    <row r="809" spans="2:8" ht="14.25" customHeight="1" x14ac:dyDescent="0.25">
      <c r="B809" s="1"/>
      <c r="C809" s="1"/>
      <c r="D809" s="1"/>
      <c r="G809" s="1"/>
      <c r="H809" s="1"/>
    </row>
    <row r="810" spans="2:8" ht="14.25" customHeight="1" x14ac:dyDescent="0.25">
      <c r="B810" s="1"/>
      <c r="C810" s="1"/>
      <c r="D810" s="1"/>
      <c r="G810" s="1"/>
      <c r="H810" s="1"/>
    </row>
    <row r="811" spans="2:8" ht="14.25" customHeight="1" x14ac:dyDescent="0.25">
      <c r="B811" s="1"/>
      <c r="C811" s="1"/>
      <c r="D811" s="1"/>
      <c r="G811" s="1"/>
      <c r="H811" s="1"/>
    </row>
    <row r="812" spans="2:8" ht="14.25" customHeight="1" x14ac:dyDescent="0.25">
      <c r="B812" s="1"/>
      <c r="C812" s="1"/>
      <c r="D812" s="1"/>
      <c r="G812" s="1"/>
      <c r="H812" s="1"/>
    </row>
    <row r="813" spans="2:8" ht="14.25" customHeight="1" x14ac:dyDescent="0.25">
      <c r="B813" s="1"/>
      <c r="C813" s="1"/>
      <c r="D813" s="1"/>
      <c r="G813" s="1"/>
      <c r="H813" s="1"/>
    </row>
    <row r="814" spans="2:8" ht="14.25" customHeight="1" x14ac:dyDescent="0.25">
      <c r="B814" s="1"/>
      <c r="C814" s="1"/>
      <c r="D814" s="1"/>
      <c r="G814" s="1"/>
      <c r="H814" s="1"/>
    </row>
    <row r="815" spans="2:8" ht="14.25" customHeight="1" x14ac:dyDescent="0.25">
      <c r="B815" s="1"/>
      <c r="C815" s="1"/>
      <c r="D815" s="1"/>
      <c r="G815" s="1"/>
      <c r="H815" s="1"/>
    </row>
    <row r="816" spans="2:8" ht="14.25" customHeight="1" x14ac:dyDescent="0.25">
      <c r="B816" s="1"/>
      <c r="C816" s="1"/>
      <c r="D816" s="1"/>
      <c r="G816" s="1"/>
      <c r="H816" s="1"/>
    </row>
    <row r="817" spans="2:8" ht="14.25" customHeight="1" x14ac:dyDescent="0.25">
      <c r="B817" s="1"/>
      <c r="C817" s="1"/>
      <c r="D817" s="1"/>
      <c r="G817" s="1"/>
      <c r="H817" s="1"/>
    </row>
    <row r="818" spans="2:8" ht="14.25" customHeight="1" x14ac:dyDescent="0.25">
      <c r="B818" s="1"/>
      <c r="C818" s="1"/>
      <c r="D818" s="1"/>
      <c r="G818" s="1"/>
      <c r="H818" s="1"/>
    </row>
    <row r="819" spans="2:8" ht="14.25" customHeight="1" x14ac:dyDescent="0.25">
      <c r="B819" s="1"/>
      <c r="C819" s="1"/>
      <c r="D819" s="1"/>
      <c r="G819" s="1"/>
      <c r="H819" s="1"/>
    </row>
    <row r="820" spans="2:8" ht="14.25" customHeight="1" x14ac:dyDescent="0.25">
      <c r="B820" s="1"/>
      <c r="C820" s="1"/>
      <c r="D820" s="1"/>
      <c r="G820" s="1"/>
      <c r="H820" s="1"/>
    </row>
    <row r="821" spans="2:8" ht="14.25" customHeight="1" x14ac:dyDescent="0.25">
      <c r="B821" s="1"/>
      <c r="C821" s="1"/>
      <c r="D821" s="1"/>
      <c r="G821" s="1"/>
      <c r="H821" s="1"/>
    </row>
    <row r="822" spans="2:8" ht="14.25" customHeight="1" x14ac:dyDescent="0.25">
      <c r="B822" s="1"/>
      <c r="C822" s="1"/>
      <c r="D822" s="1"/>
      <c r="G822" s="1"/>
      <c r="H822" s="1"/>
    </row>
    <row r="823" spans="2:8" ht="14.25" customHeight="1" x14ac:dyDescent="0.25">
      <c r="B823" s="1"/>
      <c r="C823" s="1"/>
      <c r="D823" s="1"/>
      <c r="G823" s="1"/>
      <c r="H823" s="1"/>
    </row>
    <row r="824" spans="2:8" ht="14.25" customHeight="1" x14ac:dyDescent="0.25">
      <c r="B824" s="1"/>
      <c r="C824" s="1"/>
      <c r="D824" s="1"/>
      <c r="G824" s="1"/>
      <c r="H824" s="1"/>
    </row>
    <row r="825" spans="2:8" ht="14.25" customHeight="1" x14ac:dyDescent="0.25">
      <c r="B825" s="1"/>
      <c r="C825" s="1"/>
      <c r="D825" s="1"/>
      <c r="G825" s="1"/>
      <c r="H825" s="1"/>
    </row>
    <row r="826" spans="2:8" ht="14.25" customHeight="1" x14ac:dyDescent="0.25">
      <c r="B826" s="1"/>
      <c r="C826" s="1"/>
      <c r="D826" s="1"/>
      <c r="G826" s="1"/>
      <c r="H826" s="1"/>
    </row>
    <row r="827" spans="2:8" ht="14.25" customHeight="1" x14ac:dyDescent="0.25">
      <c r="B827" s="1"/>
      <c r="C827" s="1"/>
      <c r="D827" s="1"/>
      <c r="G827" s="1"/>
      <c r="H827" s="1"/>
    </row>
    <row r="828" spans="2:8" ht="14.25" customHeight="1" x14ac:dyDescent="0.25">
      <c r="B828" s="1"/>
      <c r="C828" s="1"/>
      <c r="D828" s="1"/>
      <c r="G828" s="1"/>
      <c r="H828" s="1"/>
    </row>
    <row r="829" spans="2:8" ht="14.25" customHeight="1" x14ac:dyDescent="0.25">
      <c r="B829" s="1"/>
      <c r="C829" s="1"/>
      <c r="D829" s="1"/>
      <c r="G829" s="1"/>
      <c r="H829" s="1"/>
    </row>
    <row r="830" spans="2:8" ht="14.25" customHeight="1" x14ac:dyDescent="0.25">
      <c r="B830" s="1"/>
      <c r="C830" s="1"/>
      <c r="D830" s="1"/>
      <c r="G830" s="1"/>
      <c r="H830" s="1"/>
    </row>
    <row r="831" spans="2:8" ht="14.25" customHeight="1" x14ac:dyDescent="0.25">
      <c r="B831" s="1"/>
      <c r="C831" s="1"/>
      <c r="D831" s="1"/>
      <c r="G831" s="1"/>
      <c r="H831" s="1"/>
    </row>
    <row r="832" spans="2:8" ht="14.25" customHeight="1" x14ac:dyDescent="0.25">
      <c r="B832" s="1"/>
      <c r="C832" s="1"/>
      <c r="D832" s="1"/>
      <c r="G832" s="1"/>
      <c r="H832" s="1"/>
    </row>
    <row r="833" spans="2:8" ht="14.25" customHeight="1" x14ac:dyDescent="0.25">
      <c r="B833" s="1"/>
      <c r="C833" s="1"/>
      <c r="D833" s="1"/>
      <c r="G833" s="1"/>
      <c r="H833" s="1"/>
    </row>
    <row r="834" spans="2:8" ht="14.25" customHeight="1" x14ac:dyDescent="0.25">
      <c r="B834" s="1"/>
      <c r="C834" s="1"/>
      <c r="D834" s="1"/>
      <c r="G834" s="1"/>
      <c r="H834" s="1"/>
    </row>
    <row r="835" spans="2:8" ht="14.25" customHeight="1" x14ac:dyDescent="0.25">
      <c r="B835" s="1"/>
      <c r="C835" s="1"/>
      <c r="D835" s="1"/>
      <c r="G835" s="1"/>
      <c r="H835" s="1"/>
    </row>
    <row r="836" spans="2:8" ht="14.25" customHeight="1" x14ac:dyDescent="0.25">
      <c r="B836" s="1"/>
      <c r="C836" s="1"/>
      <c r="D836" s="1"/>
      <c r="G836" s="1"/>
      <c r="H836" s="1"/>
    </row>
    <row r="837" spans="2:8" ht="14.25" customHeight="1" x14ac:dyDescent="0.25">
      <c r="B837" s="1"/>
      <c r="C837" s="1"/>
      <c r="D837" s="1"/>
      <c r="G837" s="1"/>
      <c r="H837" s="1"/>
    </row>
    <row r="838" spans="2:8" ht="14.25" customHeight="1" x14ac:dyDescent="0.25">
      <c r="B838" s="1"/>
      <c r="C838" s="1"/>
      <c r="D838" s="1"/>
      <c r="G838" s="1"/>
      <c r="H838" s="1"/>
    </row>
    <row r="839" spans="2:8" ht="14.25" customHeight="1" x14ac:dyDescent="0.25">
      <c r="B839" s="1"/>
      <c r="C839" s="1"/>
      <c r="D839" s="1"/>
      <c r="G839" s="1"/>
      <c r="H839" s="1"/>
    </row>
    <row r="840" spans="2:8" ht="14.25" customHeight="1" x14ac:dyDescent="0.25">
      <c r="B840" s="1"/>
      <c r="C840" s="1"/>
      <c r="D840" s="1"/>
      <c r="G840" s="1"/>
      <c r="H840" s="1"/>
    </row>
    <row r="841" spans="2:8" ht="14.25" customHeight="1" x14ac:dyDescent="0.25">
      <c r="B841" s="1"/>
      <c r="C841" s="1"/>
      <c r="D841" s="1"/>
      <c r="G841" s="1"/>
      <c r="H841" s="1"/>
    </row>
    <row r="842" spans="2:8" ht="14.25" customHeight="1" x14ac:dyDescent="0.25">
      <c r="B842" s="1"/>
      <c r="C842" s="1"/>
      <c r="D842" s="1"/>
      <c r="G842" s="1"/>
      <c r="H842" s="1"/>
    </row>
    <row r="843" spans="2:8" ht="14.25" customHeight="1" x14ac:dyDescent="0.25">
      <c r="B843" s="1"/>
      <c r="C843" s="1"/>
      <c r="D843" s="1"/>
      <c r="G843" s="1"/>
      <c r="H843" s="1"/>
    </row>
    <row r="844" spans="2:8" ht="14.25" customHeight="1" x14ac:dyDescent="0.25">
      <c r="B844" s="1"/>
      <c r="C844" s="1"/>
      <c r="D844" s="1"/>
      <c r="G844" s="1"/>
      <c r="H844" s="1"/>
    </row>
    <row r="845" spans="2:8" ht="14.25" customHeight="1" x14ac:dyDescent="0.25">
      <c r="B845" s="1"/>
      <c r="C845" s="1"/>
      <c r="D845" s="1"/>
      <c r="G845" s="1"/>
      <c r="H845" s="1"/>
    </row>
    <row r="846" spans="2:8" ht="14.25" customHeight="1" x14ac:dyDescent="0.25">
      <c r="B846" s="1"/>
      <c r="C846" s="1"/>
      <c r="D846" s="1"/>
      <c r="G846" s="1"/>
      <c r="H846" s="1"/>
    </row>
    <row r="847" spans="2:8" ht="14.25" customHeight="1" x14ac:dyDescent="0.25">
      <c r="B847" s="1"/>
      <c r="C847" s="1"/>
      <c r="D847" s="1"/>
      <c r="G847" s="1"/>
      <c r="H847" s="1"/>
    </row>
    <row r="848" spans="2:8" ht="14.25" customHeight="1" x14ac:dyDescent="0.25">
      <c r="B848" s="1"/>
      <c r="C848" s="1"/>
      <c r="D848" s="1"/>
      <c r="G848" s="1"/>
      <c r="H848" s="1"/>
    </row>
    <row r="849" spans="2:8" ht="14.25" customHeight="1" x14ac:dyDescent="0.25">
      <c r="B849" s="1"/>
      <c r="C849" s="1"/>
      <c r="D849" s="1"/>
      <c r="G849" s="1"/>
      <c r="H849" s="1"/>
    </row>
    <row r="850" spans="2:8" ht="14.25" customHeight="1" x14ac:dyDescent="0.25">
      <c r="B850" s="1"/>
      <c r="C850" s="1"/>
      <c r="D850" s="1"/>
      <c r="G850" s="1"/>
      <c r="H850" s="1"/>
    </row>
    <row r="851" spans="2:8" ht="14.25" customHeight="1" x14ac:dyDescent="0.25">
      <c r="B851" s="1"/>
      <c r="C851" s="1"/>
      <c r="D851" s="1"/>
      <c r="G851" s="1"/>
      <c r="H851" s="1"/>
    </row>
    <row r="852" spans="2:8" ht="14.25" customHeight="1" x14ac:dyDescent="0.25">
      <c r="B852" s="1"/>
      <c r="C852" s="1"/>
      <c r="D852" s="1"/>
      <c r="G852" s="1"/>
      <c r="H852" s="1"/>
    </row>
    <row r="853" spans="2:8" ht="14.25" customHeight="1" x14ac:dyDescent="0.25">
      <c r="B853" s="1"/>
      <c r="C853" s="1"/>
      <c r="D853" s="1"/>
      <c r="G853" s="1"/>
      <c r="H853" s="1"/>
    </row>
    <row r="854" spans="2:8" ht="14.25" customHeight="1" x14ac:dyDescent="0.25">
      <c r="B854" s="1"/>
      <c r="C854" s="1"/>
      <c r="D854" s="1"/>
      <c r="G854" s="1"/>
      <c r="H854" s="1"/>
    </row>
    <row r="855" spans="2:8" ht="14.25" customHeight="1" x14ac:dyDescent="0.25">
      <c r="B855" s="1"/>
      <c r="C855" s="1"/>
      <c r="D855" s="1"/>
      <c r="G855" s="1"/>
      <c r="H855" s="1"/>
    </row>
    <row r="856" spans="2:8" ht="14.25" customHeight="1" x14ac:dyDescent="0.25">
      <c r="B856" s="1"/>
      <c r="C856" s="1"/>
      <c r="D856" s="1"/>
      <c r="G856" s="1"/>
      <c r="H856" s="1"/>
    </row>
    <row r="857" spans="2:8" ht="14.25" customHeight="1" x14ac:dyDescent="0.25">
      <c r="B857" s="1"/>
      <c r="C857" s="1"/>
      <c r="D857" s="1"/>
      <c r="G857" s="1"/>
      <c r="H857" s="1"/>
    </row>
    <row r="858" spans="2:8" ht="14.25" customHeight="1" x14ac:dyDescent="0.25">
      <c r="B858" s="1"/>
      <c r="C858" s="1"/>
      <c r="D858" s="1"/>
      <c r="G858" s="1"/>
      <c r="H858" s="1"/>
    </row>
    <row r="859" spans="2:8" ht="14.25" customHeight="1" x14ac:dyDescent="0.25">
      <c r="B859" s="1"/>
      <c r="C859" s="1"/>
      <c r="D859" s="1"/>
      <c r="G859" s="1"/>
      <c r="H859" s="1"/>
    </row>
    <row r="860" spans="2:8" ht="14.25" customHeight="1" x14ac:dyDescent="0.25">
      <c r="B860" s="1"/>
      <c r="C860" s="1"/>
      <c r="D860" s="1"/>
      <c r="G860" s="1"/>
      <c r="H860" s="1"/>
    </row>
    <row r="861" spans="2:8" ht="14.25" customHeight="1" x14ac:dyDescent="0.25">
      <c r="B861" s="1"/>
      <c r="C861" s="1"/>
      <c r="D861" s="1"/>
      <c r="G861" s="1"/>
      <c r="H861" s="1"/>
    </row>
    <row r="862" spans="2:8" ht="14.25" customHeight="1" x14ac:dyDescent="0.25">
      <c r="B862" s="1"/>
      <c r="C862" s="1"/>
      <c r="D862" s="1"/>
      <c r="G862" s="1"/>
      <c r="H862" s="1"/>
    </row>
    <row r="863" spans="2:8" ht="14.25" customHeight="1" x14ac:dyDescent="0.25">
      <c r="B863" s="1"/>
      <c r="C863" s="1"/>
      <c r="D863" s="1"/>
      <c r="G863" s="1"/>
      <c r="H863" s="1"/>
    </row>
    <row r="864" spans="2:8" ht="14.25" customHeight="1" x14ac:dyDescent="0.25">
      <c r="B864" s="1"/>
      <c r="C864" s="1"/>
      <c r="D864" s="1"/>
      <c r="G864" s="1"/>
      <c r="H864" s="1"/>
    </row>
    <row r="865" spans="2:8" ht="14.25" customHeight="1" x14ac:dyDescent="0.25">
      <c r="B865" s="1"/>
      <c r="C865" s="1"/>
      <c r="D865" s="1"/>
      <c r="G865" s="1"/>
      <c r="H865" s="1"/>
    </row>
    <row r="866" spans="2:8" ht="14.25" customHeight="1" x14ac:dyDescent="0.25">
      <c r="B866" s="1"/>
      <c r="C866" s="1"/>
      <c r="D866" s="1"/>
      <c r="G866" s="1"/>
      <c r="H866" s="1"/>
    </row>
    <row r="867" spans="2:8" ht="14.25" customHeight="1" x14ac:dyDescent="0.25">
      <c r="B867" s="1"/>
      <c r="C867" s="1"/>
      <c r="D867" s="1"/>
      <c r="G867" s="1"/>
      <c r="H867" s="1"/>
    </row>
    <row r="868" spans="2:8" ht="14.25" customHeight="1" x14ac:dyDescent="0.25">
      <c r="B868" s="1"/>
      <c r="C868" s="1"/>
      <c r="D868" s="1"/>
      <c r="G868" s="1"/>
      <c r="H868" s="1"/>
    </row>
    <row r="869" spans="2:8" ht="14.25" customHeight="1" x14ac:dyDescent="0.25">
      <c r="B869" s="1"/>
      <c r="C869" s="1"/>
      <c r="D869" s="1"/>
      <c r="G869" s="1"/>
      <c r="H869" s="1"/>
    </row>
    <row r="870" spans="2:8" ht="14.25" customHeight="1" x14ac:dyDescent="0.25">
      <c r="B870" s="1"/>
      <c r="C870" s="1"/>
      <c r="D870" s="1"/>
      <c r="G870" s="1"/>
      <c r="H870" s="1"/>
    </row>
    <row r="871" spans="2:8" ht="14.25" customHeight="1" x14ac:dyDescent="0.25">
      <c r="B871" s="1"/>
      <c r="C871" s="1"/>
      <c r="D871" s="1"/>
      <c r="G871" s="1"/>
      <c r="H871" s="1"/>
    </row>
    <row r="872" spans="2:8" ht="14.25" customHeight="1" x14ac:dyDescent="0.25">
      <c r="B872" s="1"/>
      <c r="C872" s="1"/>
      <c r="D872" s="1"/>
      <c r="G872" s="1"/>
      <c r="H872" s="1"/>
    </row>
    <row r="873" spans="2:8" ht="14.25" customHeight="1" x14ac:dyDescent="0.25">
      <c r="B873" s="1"/>
      <c r="C873" s="1"/>
      <c r="D873" s="1"/>
      <c r="G873" s="1"/>
      <c r="H873" s="1"/>
    </row>
    <row r="874" spans="2:8" ht="14.25" customHeight="1" x14ac:dyDescent="0.25">
      <c r="B874" s="1"/>
      <c r="C874" s="1"/>
      <c r="D874" s="1"/>
      <c r="G874" s="1"/>
      <c r="H874" s="1"/>
    </row>
    <row r="875" spans="2:8" ht="14.25" customHeight="1" x14ac:dyDescent="0.25">
      <c r="B875" s="1"/>
      <c r="C875" s="1"/>
      <c r="D875" s="1"/>
      <c r="G875" s="1"/>
      <c r="H875" s="1"/>
    </row>
    <row r="876" spans="2:8" ht="14.25" customHeight="1" x14ac:dyDescent="0.25">
      <c r="B876" s="1"/>
      <c r="C876" s="1"/>
      <c r="D876" s="1"/>
      <c r="G876" s="1"/>
      <c r="H876" s="1"/>
    </row>
    <row r="877" spans="2:8" ht="14.25" customHeight="1" x14ac:dyDescent="0.25">
      <c r="B877" s="1"/>
      <c r="C877" s="1"/>
      <c r="D877" s="1"/>
      <c r="G877" s="1"/>
      <c r="H877" s="1"/>
    </row>
    <row r="878" spans="2:8" ht="14.25" customHeight="1" x14ac:dyDescent="0.25">
      <c r="B878" s="1"/>
      <c r="C878" s="1"/>
      <c r="D878" s="1"/>
      <c r="G878" s="1"/>
      <c r="H878" s="1"/>
    </row>
    <row r="879" spans="2:8" ht="14.25" customHeight="1" x14ac:dyDescent="0.25">
      <c r="B879" s="1"/>
      <c r="C879" s="1"/>
      <c r="D879" s="1"/>
      <c r="G879" s="1"/>
      <c r="H879" s="1"/>
    </row>
    <row r="880" spans="2:8" ht="14.25" customHeight="1" x14ac:dyDescent="0.25">
      <c r="B880" s="1"/>
      <c r="C880" s="1"/>
      <c r="D880" s="1"/>
      <c r="G880" s="1"/>
      <c r="H880" s="1"/>
    </row>
    <row r="881" spans="2:8" ht="14.25" customHeight="1" x14ac:dyDescent="0.25">
      <c r="B881" s="1"/>
      <c r="C881" s="1"/>
      <c r="D881" s="1"/>
      <c r="G881" s="1"/>
      <c r="H881" s="1"/>
    </row>
    <row r="882" spans="2:8" ht="14.25" customHeight="1" x14ac:dyDescent="0.25">
      <c r="B882" s="1"/>
      <c r="C882" s="1"/>
      <c r="D882" s="1"/>
      <c r="G882" s="1"/>
      <c r="H882" s="1"/>
    </row>
    <row r="883" spans="2:8" ht="14.25" customHeight="1" x14ac:dyDescent="0.25">
      <c r="B883" s="1"/>
      <c r="C883" s="1"/>
      <c r="D883" s="1"/>
      <c r="G883" s="1"/>
      <c r="H883" s="1"/>
    </row>
    <row r="884" spans="2:8" ht="14.25" customHeight="1" x14ac:dyDescent="0.25">
      <c r="B884" s="1"/>
      <c r="C884" s="1"/>
      <c r="D884" s="1"/>
      <c r="G884" s="1"/>
      <c r="H884" s="1"/>
    </row>
    <row r="885" spans="2:8" ht="14.25" customHeight="1" x14ac:dyDescent="0.25">
      <c r="B885" s="1"/>
      <c r="C885" s="1"/>
      <c r="D885" s="1"/>
      <c r="G885" s="1"/>
      <c r="H885" s="1"/>
    </row>
    <row r="886" spans="2:8" ht="14.25" customHeight="1" x14ac:dyDescent="0.25">
      <c r="B886" s="1"/>
      <c r="C886" s="1"/>
      <c r="D886" s="1"/>
      <c r="G886" s="1"/>
      <c r="H886" s="1"/>
    </row>
    <row r="887" spans="2:8" ht="14.25" customHeight="1" x14ac:dyDescent="0.25">
      <c r="B887" s="1"/>
      <c r="C887" s="1"/>
      <c r="D887" s="1"/>
      <c r="G887" s="1"/>
      <c r="H887" s="1"/>
    </row>
    <row r="888" spans="2:8" ht="14.25" customHeight="1" x14ac:dyDescent="0.25">
      <c r="B888" s="1"/>
      <c r="C888" s="1"/>
      <c r="D888" s="1"/>
      <c r="G888" s="1"/>
      <c r="H888" s="1"/>
    </row>
    <row r="889" spans="2:8" ht="14.25" customHeight="1" x14ac:dyDescent="0.25">
      <c r="B889" s="1"/>
      <c r="C889" s="1"/>
      <c r="D889" s="1"/>
      <c r="G889" s="1"/>
      <c r="H889" s="1"/>
    </row>
    <row r="890" spans="2:8" ht="14.25" customHeight="1" x14ac:dyDescent="0.25">
      <c r="B890" s="1"/>
      <c r="C890" s="1"/>
      <c r="D890" s="1"/>
      <c r="G890" s="1"/>
      <c r="H890" s="1"/>
    </row>
    <row r="891" spans="2:8" ht="14.25" customHeight="1" x14ac:dyDescent="0.25">
      <c r="B891" s="1"/>
      <c r="C891" s="1"/>
      <c r="D891" s="1"/>
      <c r="G891" s="1"/>
      <c r="H891" s="1"/>
    </row>
    <row r="892" spans="2:8" ht="14.25" customHeight="1" x14ac:dyDescent="0.25">
      <c r="B892" s="1"/>
      <c r="C892" s="1"/>
      <c r="D892" s="1"/>
      <c r="G892" s="1"/>
      <c r="H892" s="1"/>
    </row>
    <row r="893" spans="2:8" ht="14.25" customHeight="1" x14ac:dyDescent="0.25">
      <c r="B893" s="1"/>
      <c r="C893" s="1"/>
      <c r="D893" s="1"/>
      <c r="G893" s="1"/>
      <c r="H893" s="1"/>
    </row>
    <row r="894" spans="2:8" ht="14.25" customHeight="1" x14ac:dyDescent="0.25">
      <c r="B894" s="1"/>
      <c r="C894" s="1"/>
      <c r="D894" s="1"/>
      <c r="G894" s="1"/>
      <c r="H894" s="1"/>
    </row>
    <row r="895" spans="2:8" ht="14.25" customHeight="1" x14ac:dyDescent="0.25">
      <c r="B895" s="1"/>
      <c r="C895" s="1"/>
      <c r="D895" s="1"/>
      <c r="G895" s="1"/>
      <c r="H895" s="1"/>
    </row>
    <row r="896" spans="2:8" ht="14.25" customHeight="1" x14ac:dyDescent="0.25">
      <c r="B896" s="1"/>
      <c r="C896" s="1"/>
      <c r="D896" s="1"/>
      <c r="G896" s="1"/>
      <c r="H896" s="1"/>
    </row>
    <row r="897" spans="2:8" ht="14.25" customHeight="1" x14ac:dyDescent="0.25">
      <c r="B897" s="1"/>
      <c r="C897" s="1"/>
      <c r="D897" s="1"/>
      <c r="G897" s="1"/>
      <c r="H897" s="1"/>
    </row>
    <row r="898" spans="2:8" ht="14.25" customHeight="1" x14ac:dyDescent="0.25">
      <c r="B898" s="1"/>
      <c r="C898" s="1"/>
      <c r="D898" s="1"/>
      <c r="G898" s="1"/>
      <c r="H898" s="1"/>
    </row>
    <row r="899" spans="2:8" ht="14.25" customHeight="1" x14ac:dyDescent="0.25">
      <c r="B899" s="1"/>
      <c r="C899" s="1"/>
      <c r="D899" s="1"/>
      <c r="G899" s="1"/>
      <c r="H899" s="1"/>
    </row>
    <row r="900" spans="2:8" ht="14.25" customHeight="1" x14ac:dyDescent="0.25">
      <c r="B900" s="1"/>
      <c r="C900" s="1"/>
      <c r="D900" s="1"/>
      <c r="G900" s="1"/>
      <c r="H900" s="1"/>
    </row>
    <row r="901" spans="2:8" ht="14.25" customHeight="1" x14ac:dyDescent="0.25">
      <c r="B901" s="1"/>
      <c r="C901" s="1"/>
      <c r="D901" s="1"/>
      <c r="G901" s="1"/>
      <c r="H901" s="1"/>
    </row>
    <row r="902" spans="2:8" ht="14.25" customHeight="1" x14ac:dyDescent="0.25">
      <c r="B902" s="1"/>
      <c r="C902" s="1"/>
      <c r="D902" s="1"/>
      <c r="G902" s="1"/>
      <c r="H902" s="1"/>
    </row>
    <row r="903" spans="2:8" ht="14.25" customHeight="1" x14ac:dyDescent="0.25">
      <c r="B903" s="1"/>
      <c r="C903" s="1"/>
      <c r="D903" s="1"/>
      <c r="G903" s="1"/>
      <c r="H903" s="1"/>
    </row>
    <row r="904" spans="2:8" ht="14.25" customHeight="1" x14ac:dyDescent="0.25">
      <c r="B904" s="1"/>
      <c r="C904" s="1"/>
      <c r="D904" s="1"/>
      <c r="G904" s="1"/>
      <c r="H904" s="1"/>
    </row>
    <row r="905" spans="2:8" ht="14.25" customHeight="1" x14ac:dyDescent="0.25">
      <c r="B905" s="1"/>
      <c r="C905" s="1"/>
      <c r="D905" s="1"/>
      <c r="G905" s="1"/>
      <c r="H905" s="1"/>
    </row>
    <row r="906" spans="2:8" ht="14.25" customHeight="1" x14ac:dyDescent="0.25">
      <c r="B906" s="1"/>
      <c r="C906" s="1"/>
      <c r="D906" s="1"/>
      <c r="G906" s="1"/>
      <c r="H906" s="1"/>
    </row>
    <row r="907" spans="2:8" ht="14.25" customHeight="1" x14ac:dyDescent="0.25">
      <c r="B907" s="1"/>
      <c r="C907" s="1"/>
      <c r="D907" s="1"/>
      <c r="G907" s="1"/>
      <c r="H907" s="1"/>
    </row>
    <row r="908" spans="2:8" ht="14.25" customHeight="1" x14ac:dyDescent="0.25">
      <c r="B908" s="1"/>
      <c r="C908" s="1"/>
      <c r="D908" s="1"/>
      <c r="G908" s="1"/>
      <c r="H908" s="1"/>
    </row>
    <row r="909" spans="2:8" ht="14.25" customHeight="1" x14ac:dyDescent="0.25">
      <c r="B909" s="1"/>
      <c r="C909" s="1"/>
      <c r="D909" s="1"/>
      <c r="G909" s="1"/>
      <c r="H909" s="1"/>
    </row>
    <row r="910" spans="2:8" ht="14.25" customHeight="1" x14ac:dyDescent="0.25">
      <c r="B910" s="1"/>
      <c r="C910" s="1"/>
      <c r="D910" s="1"/>
      <c r="G910" s="1"/>
      <c r="H910" s="1"/>
    </row>
    <row r="911" spans="2:8" ht="14.25" customHeight="1" x14ac:dyDescent="0.25">
      <c r="B911" s="1"/>
      <c r="C911" s="1"/>
      <c r="D911" s="1"/>
      <c r="G911" s="1"/>
      <c r="H911" s="1"/>
    </row>
    <row r="912" spans="2:8" ht="14.25" customHeight="1" x14ac:dyDescent="0.25">
      <c r="B912" s="1"/>
      <c r="C912" s="1"/>
      <c r="D912" s="1"/>
      <c r="G912" s="1"/>
      <c r="H912" s="1"/>
    </row>
    <row r="913" spans="2:8" ht="14.25" customHeight="1" x14ac:dyDescent="0.25">
      <c r="B913" s="1"/>
      <c r="C913" s="1"/>
      <c r="D913" s="1"/>
      <c r="G913" s="1"/>
      <c r="H913" s="1"/>
    </row>
    <row r="914" spans="2:8" ht="14.25" customHeight="1" x14ac:dyDescent="0.25">
      <c r="B914" s="1"/>
      <c r="C914" s="1"/>
      <c r="D914" s="1"/>
      <c r="G914" s="1"/>
      <c r="H914" s="1"/>
    </row>
    <row r="915" spans="2:8" ht="14.25" customHeight="1" x14ac:dyDescent="0.25">
      <c r="B915" s="1"/>
      <c r="C915" s="1"/>
      <c r="D915" s="1"/>
      <c r="G915" s="1"/>
      <c r="H915" s="1"/>
    </row>
    <row r="916" spans="2:8" ht="14.25" customHeight="1" x14ac:dyDescent="0.25">
      <c r="B916" s="1"/>
      <c r="C916" s="1"/>
      <c r="D916" s="1"/>
      <c r="G916" s="1"/>
      <c r="H916" s="1"/>
    </row>
    <row r="917" spans="2:8" ht="14.25" customHeight="1" x14ac:dyDescent="0.25">
      <c r="B917" s="1"/>
      <c r="C917" s="1"/>
      <c r="D917" s="1"/>
      <c r="G917" s="1"/>
      <c r="H917" s="1"/>
    </row>
    <row r="918" spans="2:8" ht="14.25" customHeight="1" x14ac:dyDescent="0.25">
      <c r="B918" s="1"/>
      <c r="C918" s="1"/>
      <c r="D918" s="1"/>
      <c r="G918" s="1"/>
      <c r="H918" s="1"/>
    </row>
    <row r="919" spans="2:8" ht="14.25" customHeight="1" x14ac:dyDescent="0.25">
      <c r="B919" s="1"/>
      <c r="C919" s="1"/>
      <c r="D919" s="1"/>
      <c r="G919" s="1"/>
      <c r="H919" s="1"/>
    </row>
    <row r="920" spans="2:8" ht="14.25" customHeight="1" x14ac:dyDescent="0.25">
      <c r="B920" s="1"/>
      <c r="C920" s="1"/>
      <c r="D920" s="1"/>
      <c r="G920" s="1"/>
      <c r="H920" s="1"/>
    </row>
    <row r="921" spans="2:8" ht="14.25" customHeight="1" x14ac:dyDescent="0.25">
      <c r="B921" s="1"/>
      <c r="C921" s="1"/>
      <c r="D921" s="1"/>
      <c r="G921" s="1"/>
      <c r="H921" s="1"/>
    </row>
    <row r="922" spans="2:8" ht="14.25" customHeight="1" x14ac:dyDescent="0.25">
      <c r="B922" s="1"/>
      <c r="C922" s="1"/>
      <c r="D922" s="1"/>
      <c r="G922" s="1"/>
      <c r="H922" s="1"/>
    </row>
    <row r="923" spans="2:8" ht="14.25" customHeight="1" x14ac:dyDescent="0.25">
      <c r="B923" s="1"/>
      <c r="C923" s="1"/>
      <c r="D923" s="1"/>
      <c r="G923" s="1"/>
      <c r="H923" s="1"/>
    </row>
    <row r="924" spans="2:8" ht="14.25" customHeight="1" x14ac:dyDescent="0.25">
      <c r="B924" s="1"/>
      <c r="C924" s="1"/>
      <c r="D924" s="1"/>
      <c r="G924" s="1"/>
      <c r="H924" s="1"/>
    </row>
    <row r="925" spans="2:8" ht="14.25" customHeight="1" x14ac:dyDescent="0.25">
      <c r="B925" s="1"/>
      <c r="C925" s="1"/>
      <c r="D925" s="1"/>
      <c r="G925" s="1"/>
      <c r="H925" s="1"/>
    </row>
    <row r="926" spans="2:8" ht="14.25" customHeight="1" x14ac:dyDescent="0.25">
      <c r="B926" s="1"/>
      <c r="C926" s="1"/>
      <c r="D926" s="1"/>
      <c r="G926" s="1"/>
      <c r="H926" s="1"/>
    </row>
    <row r="927" spans="2:8" ht="14.25" customHeight="1" x14ac:dyDescent="0.25">
      <c r="B927" s="1"/>
      <c r="C927" s="1"/>
      <c r="D927" s="1"/>
      <c r="G927" s="1"/>
      <c r="H927" s="1"/>
    </row>
    <row r="928" spans="2:8" ht="14.25" customHeight="1" x14ac:dyDescent="0.25">
      <c r="B928" s="1"/>
      <c r="C928" s="1"/>
      <c r="D928" s="1"/>
      <c r="G928" s="1"/>
      <c r="H928" s="1"/>
    </row>
    <row r="929" spans="2:8" ht="14.25" customHeight="1" x14ac:dyDescent="0.25">
      <c r="B929" s="1"/>
      <c r="C929" s="1"/>
      <c r="D929" s="1"/>
      <c r="G929" s="1"/>
      <c r="H929" s="1"/>
    </row>
    <row r="930" spans="2:8" ht="14.25" customHeight="1" x14ac:dyDescent="0.25">
      <c r="B930" s="1"/>
      <c r="C930" s="1"/>
      <c r="D930" s="1"/>
      <c r="G930" s="1"/>
      <c r="H930" s="1"/>
    </row>
    <row r="931" spans="2:8" ht="14.25" customHeight="1" x14ac:dyDescent="0.25">
      <c r="B931" s="1"/>
      <c r="C931" s="1"/>
      <c r="D931" s="1"/>
      <c r="G931" s="1"/>
      <c r="H931" s="1"/>
    </row>
    <row r="932" spans="2:8" ht="14.25" customHeight="1" x14ac:dyDescent="0.25">
      <c r="B932" s="1"/>
      <c r="C932" s="1"/>
      <c r="D932" s="1"/>
      <c r="G932" s="1"/>
      <c r="H932" s="1"/>
    </row>
    <row r="933" spans="2:8" ht="14.25" customHeight="1" x14ac:dyDescent="0.25">
      <c r="B933" s="1"/>
      <c r="C933" s="1"/>
      <c r="D933" s="1"/>
      <c r="G933" s="1"/>
      <c r="H933" s="1"/>
    </row>
    <row r="934" spans="2:8" ht="14.25" customHeight="1" x14ac:dyDescent="0.25">
      <c r="B934" s="1"/>
      <c r="C934" s="1"/>
      <c r="D934" s="1"/>
      <c r="G934" s="1"/>
      <c r="H934" s="1"/>
    </row>
    <row r="935" spans="2:8" ht="14.25" customHeight="1" x14ac:dyDescent="0.25">
      <c r="B935" s="1"/>
      <c r="C935" s="1"/>
      <c r="D935" s="1"/>
      <c r="G935" s="1"/>
      <c r="H935" s="1"/>
    </row>
    <row r="936" spans="2:8" ht="14.25" customHeight="1" x14ac:dyDescent="0.25">
      <c r="B936" s="1"/>
      <c r="C936" s="1"/>
      <c r="D936" s="1"/>
      <c r="G936" s="1"/>
      <c r="H936" s="1"/>
    </row>
    <row r="937" spans="2:8" ht="14.25" customHeight="1" x14ac:dyDescent="0.25">
      <c r="B937" s="1"/>
      <c r="C937" s="1"/>
      <c r="D937" s="1"/>
      <c r="G937" s="1"/>
      <c r="H937" s="1"/>
    </row>
    <row r="938" spans="2:8" ht="14.25" customHeight="1" x14ac:dyDescent="0.25">
      <c r="B938" s="1"/>
      <c r="C938" s="1"/>
      <c r="D938" s="1"/>
      <c r="G938" s="1"/>
      <c r="H938" s="1"/>
    </row>
    <row r="939" spans="2:8" ht="14.25" customHeight="1" x14ac:dyDescent="0.25">
      <c r="B939" s="1"/>
      <c r="C939" s="1"/>
      <c r="D939" s="1"/>
      <c r="G939" s="1"/>
      <c r="H939" s="1"/>
    </row>
    <row r="940" spans="2:8" ht="14.25" customHeight="1" x14ac:dyDescent="0.25">
      <c r="B940" s="1"/>
      <c r="C940" s="1"/>
      <c r="D940" s="1"/>
      <c r="G940" s="1"/>
      <c r="H940" s="1"/>
    </row>
    <row r="941" spans="2:8" ht="14.25" customHeight="1" x14ac:dyDescent="0.25">
      <c r="B941" s="1"/>
      <c r="C941" s="1"/>
      <c r="D941" s="1"/>
      <c r="G941" s="1"/>
      <c r="H941" s="1"/>
    </row>
    <row r="942" spans="2:8" ht="14.25" customHeight="1" x14ac:dyDescent="0.25">
      <c r="B942" s="1"/>
      <c r="C942" s="1"/>
      <c r="D942" s="1"/>
      <c r="G942" s="1"/>
      <c r="H942" s="1"/>
    </row>
    <row r="943" spans="2:8" ht="14.25" customHeight="1" x14ac:dyDescent="0.25">
      <c r="B943" s="1"/>
      <c r="C943" s="1"/>
      <c r="D943" s="1"/>
      <c r="G943" s="1"/>
      <c r="H943" s="1"/>
    </row>
    <row r="944" spans="2:8" ht="14.25" customHeight="1" x14ac:dyDescent="0.25">
      <c r="B944" s="1"/>
      <c r="C944" s="1"/>
      <c r="D944" s="1"/>
      <c r="G944" s="1"/>
      <c r="H944" s="1"/>
    </row>
    <row r="945" spans="2:8" ht="14.25" customHeight="1" x14ac:dyDescent="0.25">
      <c r="B945" s="1"/>
      <c r="C945" s="1"/>
      <c r="D945" s="1"/>
      <c r="G945" s="1"/>
      <c r="H945" s="1"/>
    </row>
    <row r="946" spans="2:8" ht="14.25" customHeight="1" x14ac:dyDescent="0.25">
      <c r="B946" s="1"/>
      <c r="C946" s="1"/>
      <c r="D946" s="1"/>
      <c r="G946" s="1"/>
      <c r="H946" s="1"/>
    </row>
    <row r="947" spans="2:8" ht="14.25" customHeight="1" x14ac:dyDescent="0.25">
      <c r="B947" s="1"/>
      <c r="C947" s="1"/>
      <c r="D947" s="1"/>
      <c r="G947" s="1"/>
      <c r="H947" s="1"/>
    </row>
    <row r="948" spans="2:8" ht="14.25" customHeight="1" x14ac:dyDescent="0.25">
      <c r="B948" s="1"/>
      <c r="C948" s="1"/>
      <c r="D948" s="1"/>
      <c r="G948" s="1"/>
      <c r="H948" s="1"/>
    </row>
    <row r="949" spans="2:8" ht="14.25" customHeight="1" x14ac:dyDescent="0.25">
      <c r="B949" s="1"/>
      <c r="C949" s="1"/>
      <c r="D949" s="1"/>
      <c r="G949" s="1"/>
      <c r="H949" s="1"/>
    </row>
    <row r="950" spans="2:8" ht="14.25" customHeight="1" x14ac:dyDescent="0.25">
      <c r="B950" s="1"/>
      <c r="C950" s="1"/>
      <c r="D950" s="1"/>
      <c r="G950" s="1"/>
      <c r="H950" s="1"/>
    </row>
    <row r="951" spans="2:8" ht="14.25" customHeight="1" x14ac:dyDescent="0.25">
      <c r="B951" s="1"/>
      <c r="C951" s="1"/>
      <c r="D951" s="1"/>
      <c r="G951" s="1"/>
      <c r="H951" s="1"/>
    </row>
    <row r="952" spans="2:8" ht="14.25" customHeight="1" x14ac:dyDescent="0.25">
      <c r="B952" s="1"/>
      <c r="C952" s="1"/>
      <c r="D952" s="1"/>
      <c r="G952" s="1"/>
      <c r="H952" s="1"/>
    </row>
    <row r="953" spans="2:8" ht="14.25" customHeight="1" x14ac:dyDescent="0.25">
      <c r="B953" s="1"/>
      <c r="C953" s="1"/>
      <c r="D953" s="1"/>
      <c r="G953" s="1"/>
      <c r="H953" s="1"/>
    </row>
    <row r="954" spans="2:8" ht="14.25" customHeight="1" x14ac:dyDescent="0.25">
      <c r="B954" s="1"/>
      <c r="C954" s="1"/>
      <c r="D954" s="1"/>
      <c r="G954" s="1"/>
      <c r="H954" s="1"/>
    </row>
    <row r="955" spans="2:8" ht="14.25" customHeight="1" x14ac:dyDescent="0.25">
      <c r="B955" s="1"/>
      <c r="C955" s="1"/>
      <c r="D955" s="1"/>
      <c r="G955" s="1"/>
      <c r="H955" s="1"/>
    </row>
    <row r="956" spans="2:8" ht="14.25" customHeight="1" x14ac:dyDescent="0.25">
      <c r="B956" s="1"/>
      <c r="C956" s="1"/>
      <c r="D956" s="1"/>
      <c r="G956" s="1"/>
      <c r="H956" s="1"/>
    </row>
    <row r="957" spans="2:8" ht="14.25" customHeight="1" x14ac:dyDescent="0.25">
      <c r="B957" s="1"/>
      <c r="C957" s="1"/>
      <c r="D957" s="1"/>
      <c r="G957" s="1"/>
      <c r="H957" s="1"/>
    </row>
    <row r="958" spans="2:8" ht="14.25" customHeight="1" x14ac:dyDescent="0.25">
      <c r="B958" s="1"/>
      <c r="C958" s="1"/>
      <c r="D958" s="1"/>
      <c r="G958" s="1"/>
      <c r="H958" s="1"/>
    </row>
    <row r="959" spans="2:8" ht="14.25" customHeight="1" x14ac:dyDescent="0.25">
      <c r="B959" s="1"/>
      <c r="C959" s="1"/>
      <c r="D959" s="1"/>
      <c r="G959" s="1"/>
      <c r="H959" s="1"/>
    </row>
    <row r="960" spans="2:8" ht="14.25" customHeight="1" x14ac:dyDescent="0.25">
      <c r="B960" s="1"/>
      <c r="C960" s="1"/>
      <c r="D960" s="1"/>
      <c r="G960" s="1"/>
      <c r="H960" s="1"/>
    </row>
    <row r="961" spans="2:8" ht="14.25" customHeight="1" x14ac:dyDescent="0.25">
      <c r="B961" s="1"/>
      <c r="C961" s="1"/>
      <c r="D961" s="1"/>
      <c r="G961" s="1"/>
      <c r="H961" s="1"/>
    </row>
    <row r="962" spans="2:8" ht="14.25" customHeight="1" x14ac:dyDescent="0.25">
      <c r="B962" s="1"/>
      <c r="C962" s="1"/>
      <c r="D962" s="1"/>
      <c r="G962" s="1"/>
      <c r="H962" s="1"/>
    </row>
    <row r="963" spans="2:8" ht="14.25" customHeight="1" x14ac:dyDescent="0.25">
      <c r="B963" s="1"/>
      <c r="C963" s="1"/>
      <c r="D963" s="1"/>
      <c r="G963" s="1"/>
      <c r="H963" s="1"/>
    </row>
    <row r="964" spans="2:8" ht="14.25" customHeight="1" x14ac:dyDescent="0.25">
      <c r="B964" s="1"/>
      <c r="C964" s="1"/>
      <c r="D964" s="1"/>
      <c r="G964" s="1"/>
      <c r="H964" s="1"/>
    </row>
    <row r="965" spans="2:8" ht="14.25" customHeight="1" x14ac:dyDescent="0.25">
      <c r="B965" s="1"/>
      <c r="C965" s="1"/>
      <c r="D965" s="1"/>
      <c r="G965" s="1"/>
      <c r="H965" s="1"/>
    </row>
    <row r="966" spans="2:8" ht="14.25" customHeight="1" x14ac:dyDescent="0.25">
      <c r="B966" s="1"/>
      <c r="C966" s="1"/>
      <c r="D966" s="1"/>
      <c r="G966" s="1"/>
      <c r="H966" s="1"/>
    </row>
    <row r="967" spans="2:8" ht="14.25" customHeight="1" x14ac:dyDescent="0.25">
      <c r="B967" s="1"/>
      <c r="C967" s="1"/>
      <c r="D967" s="1"/>
      <c r="G967" s="1"/>
      <c r="H967" s="1"/>
    </row>
    <row r="968" spans="2:8" ht="14.25" customHeight="1" x14ac:dyDescent="0.25">
      <c r="B968" s="1"/>
      <c r="C968" s="1"/>
      <c r="D968" s="1"/>
      <c r="G968" s="1"/>
      <c r="H968" s="1"/>
    </row>
    <row r="969" spans="2:8" ht="14.25" customHeight="1" x14ac:dyDescent="0.25">
      <c r="B969" s="1"/>
      <c r="C969" s="1"/>
      <c r="D969" s="1"/>
      <c r="G969" s="1"/>
      <c r="H969" s="1"/>
    </row>
    <row r="970" spans="2:8" ht="14.25" customHeight="1" x14ac:dyDescent="0.25">
      <c r="B970" s="1"/>
      <c r="C970" s="1"/>
      <c r="D970" s="1"/>
      <c r="G970" s="1"/>
      <c r="H970" s="1"/>
    </row>
    <row r="971" spans="2:8" ht="14.25" customHeight="1" x14ac:dyDescent="0.25">
      <c r="B971" s="1"/>
      <c r="C971" s="1"/>
      <c r="D971" s="1"/>
      <c r="G971" s="1"/>
      <c r="H971" s="1"/>
    </row>
    <row r="972" spans="2:8" ht="14.25" customHeight="1" x14ac:dyDescent="0.25">
      <c r="B972" s="1"/>
      <c r="C972" s="1"/>
      <c r="D972" s="1"/>
      <c r="G972" s="1"/>
      <c r="H972" s="1"/>
    </row>
    <row r="973" spans="2:8" ht="14.25" customHeight="1" x14ac:dyDescent="0.25">
      <c r="B973" s="1"/>
      <c r="C973" s="1"/>
      <c r="D973" s="1"/>
      <c r="G973" s="1"/>
      <c r="H973" s="1"/>
    </row>
    <row r="974" spans="2:8" ht="14.25" customHeight="1" x14ac:dyDescent="0.25">
      <c r="B974" s="1"/>
      <c r="C974" s="1"/>
      <c r="D974" s="1"/>
      <c r="G974" s="1"/>
      <c r="H974" s="1"/>
    </row>
    <row r="975" spans="2:8" ht="14.25" customHeight="1" x14ac:dyDescent="0.25">
      <c r="B975" s="1"/>
      <c r="C975" s="1"/>
      <c r="D975" s="1"/>
      <c r="G975" s="1"/>
      <c r="H975" s="1"/>
    </row>
    <row r="976" spans="2:8" ht="14.25" customHeight="1" x14ac:dyDescent="0.25">
      <c r="B976" s="1"/>
      <c r="C976" s="1"/>
      <c r="D976" s="1"/>
      <c r="G976" s="1"/>
      <c r="H976" s="1"/>
    </row>
    <row r="977" spans="2:8" ht="14.25" customHeight="1" x14ac:dyDescent="0.25">
      <c r="B977" s="1"/>
      <c r="C977" s="1"/>
      <c r="D977" s="1"/>
      <c r="G977" s="1"/>
      <c r="H977" s="1"/>
    </row>
    <row r="978" spans="2:8" ht="14.25" customHeight="1" x14ac:dyDescent="0.25">
      <c r="B978" s="1"/>
      <c r="C978" s="1"/>
      <c r="D978" s="1"/>
      <c r="G978" s="1"/>
      <c r="H978" s="1"/>
    </row>
    <row r="979" spans="2:8" ht="14.25" customHeight="1" x14ac:dyDescent="0.25">
      <c r="B979" s="1"/>
      <c r="C979" s="1"/>
      <c r="D979" s="1"/>
      <c r="G979" s="1"/>
      <c r="H979" s="1"/>
    </row>
    <row r="980" spans="2:8" ht="14.25" customHeight="1" x14ac:dyDescent="0.25">
      <c r="B980" s="1"/>
      <c r="C980" s="1"/>
      <c r="D980" s="1"/>
      <c r="G980" s="1"/>
      <c r="H980" s="1"/>
    </row>
    <row r="981" spans="2:8" ht="14.25" customHeight="1" x14ac:dyDescent="0.25">
      <c r="B981" s="1"/>
      <c r="C981" s="1"/>
      <c r="D981" s="1"/>
      <c r="G981" s="1"/>
      <c r="H981" s="1"/>
    </row>
    <row r="982" spans="2:8" ht="14.25" customHeight="1" x14ac:dyDescent="0.25">
      <c r="B982" s="1"/>
      <c r="C982" s="1"/>
      <c r="D982" s="1"/>
      <c r="G982" s="1"/>
      <c r="H982" s="1"/>
    </row>
    <row r="983" spans="2:8" ht="14.25" customHeight="1" x14ac:dyDescent="0.25">
      <c r="B983" s="1"/>
      <c r="C983" s="1"/>
      <c r="D983" s="1"/>
      <c r="G983" s="1"/>
      <c r="H983" s="1"/>
    </row>
    <row r="984" spans="2:8" ht="14.25" customHeight="1" x14ac:dyDescent="0.25">
      <c r="B984" s="1"/>
      <c r="C984" s="1"/>
      <c r="D984" s="1"/>
      <c r="G984" s="1"/>
      <c r="H984" s="1"/>
    </row>
    <row r="985" spans="2:8" ht="14.25" customHeight="1" x14ac:dyDescent="0.25">
      <c r="B985" s="1"/>
      <c r="C985" s="1"/>
      <c r="D985" s="1"/>
      <c r="G985" s="1"/>
      <c r="H985" s="1"/>
    </row>
    <row r="986" spans="2:8" ht="14.25" customHeight="1" x14ac:dyDescent="0.25">
      <c r="B986" s="1"/>
      <c r="C986" s="1"/>
      <c r="D986" s="1"/>
      <c r="G986" s="1"/>
      <c r="H986" s="1"/>
    </row>
    <row r="987" spans="2:8" ht="14.25" customHeight="1" x14ac:dyDescent="0.25">
      <c r="B987" s="1"/>
      <c r="C987" s="1"/>
      <c r="D987" s="1"/>
      <c r="G987" s="1"/>
      <c r="H987" s="1"/>
    </row>
    <row r="988" spans="2:8" ht="14.25" customHeight="1" x14ac:dyDescent="0.25">
      <c r="B988" s="1"/>
      <c r="C988" s="1"/>
      <c r="D988" s="1"/>
      <c r="G988" s="1"/>
      <c r="H988" s="1"/>
    </row>
    <row r="989" spans="2:8" ht="14.25" customHeight="1" x14ac:dyDescent="0.25">
      <c r="B989" s="1"/>
      <c r="C989" s="1"/>
      <c r="D989" s="1"/>
      <c r="G989" s="1"/>
      <c r="H989" s="1"/>
    </row>
    <row r="990" spans="2:8" ht="14.25" customHeight="1" x14ac:dyDescent="0.25">
      <c r="B990" s="1"/>
      <c r="C990" s="1"/>
      <c r="D990" s="1"/>
      <c r="G990" s="1"/>
      <c r="H990" s="1"/>
    </row>
    <row r="991" spans="2:8" ht="14.25" customHeight="1" x14ac:dyDescent="0.25">
      <c r="B991" s="1"/>
      <c r="C991" s="1"/>
      <c r="D991" s="1"/>
      <c r="G991" s="1"/>
      <c r="H991" s="1"/>
    </row>
    <row r="992" spans="2:8" ht="14.25" customHeight="1" x14ac:dyDescent="0.25">
      <c r="B992" s="1"/>
      <c r="C992" s="1"/>
      <c r="D992" s="1"/>
      <c r="G992" s="1"/>
      <c r="H992" s="1"/>
    </row>
    <row r="993" spans="2:8" ht="14.25" customHeight="1" x14ac:dyDescent="0.25">
      <c r="B993" s="1"/>
      <c r="C993" s="1"/>
      <c r="D993" s="1"/>
      <c r="G993" s="1"/>
      <c r="H993" s="1"/>
    </row>
    <row r="994" spans="2:8" ht="14.25" customHeight="1" x14ac:dyDescent="0.25">
      <c r="B994" s="1"/>
      <c r="C994" s="1"/>
      <c r="D994" s="1"/>
      <c r="G994" s="1"/>
      <c r="H994" s="1"/>
    </row>
    <row r="995" spans="2:8" ht="14.25" customHeight="1" x14ac:dyDescent="0.25">
      <c r="B995" s="1"/>
      <c r="C995" s="1"/>
      <c r="D995" s="1"/>
      <c r="G995" s="1"/>
      <c r="H995" s="1"/>
    </row>
    <row r="996" spans="2:8" ht="14.25" customHeight="1" x14ac:dyDescent="0.25">
      <c r="B996" s="1"/>
      <c r="C996" s="1"/>
      <c r="D996" s="1"/>
      <c r="G996" s="1"/>
      <c r="H996" s="1"/>
    </row>
    <row r="997" spans="2:8" ht="14.25" customHeight="1" x14ac:dyDescent="0.25">
      <c r="B997" s="1"/>
      <c r="C997" s="1"/>
      <c r="D997" s="1"/>
      <c r="G997" s="1"/>
      <c r="H997" s="1"/>
    </row>
    <row r="998" spans="2:8" ht="14.25" customHeight="1" x14ac:dyDescent="0.25">
      <c r="B998" s="1"/>
      <c r="C998" s="1"/>
      <c r="D998" s="1"/>
      <c r="G998" s="1"/>
      <c r="H998" s="1"/>
    </row>
    <row r="999" spans="2:8" ht="14.25" customHeight="1" x14ac:dyDescent="0.25">
      <c r="B999" s="1"/>
      <c r="C999" s="1"/>
      <c r="D999" s="1"/>
      <c r="G999" s="1"/>
      <c r="H999" s="1"/>
    </row>
    <row r="1000" spans="2:8" ht="14.25" customHeight="1" x14ac:dyDescent="0.25">
      <c r="B1000" s="1"/>
      <c r="C1000" s="1"/>
      <c r="D1000" s="1"/>
      <c r="G1000" s="1"/>
      <c r="H1000" s="1"/>
    </row>
    <row r="1001" spans="2:8" ht="14.25" customHeight="1" x14ac:dyDescent="0.25">
      <c r="B1001" s="1"/>
      <c r="C1001" s="1"/>
      <c r="D1001" s="1"/>
      <c r="G1001" s="1"/>
      <c r="H1001" s="1"/>
    </row>
    <row r="1002" spans="2:8" ht="14.25" customHeight="1" x14ac:dyDescent="0.25">
      <c r="B1002" s="1"/>
      <c r="C1002" s="1"/>
      <c r="D1002" s="1"/>
      <c r="G1002" s="1"/>
      <c r="H1002" s="1"/>
    </row>
    <row r="1003" spans="2:8" ht="14.25" customHeight="1" x14ac:dyDescent="0.25">
      <c r="B1003" s="1"/>
      <c r="C1003" s="1"/>
      <c r="D1003" s="1"/>
      <c r="G1003" s="1"/>
      <c r="H1003" s="1"/>
    </row>
    <row r="1004" spans="2:8" ht="14.25" customHeight="1" x14ac:dyDescent="0.25">
      <c r="B1004" s="1"/>
      <c r="C1004" s="1"/>
      <c r="D1004" s="1"/>
      <c r="G1004" s="1"/>
      <c r="H1004" s="1"/>
    </row>
  </sheetData>
  <mergeCells count="2">
    <mergeCell ref="A2:G4"/>
    <mergeCell ref="B6:C6"/>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16"/>
  <sheetViews>
    <sheetView tabSelected="1" zoomScaleNormal="100" workbookViewId="0">
      <selection activeCell="C25" sqref="C25"/>
    </sheetView>
  </sheetViews>
  <sheetFormatPr defaultColWidth="14.42578125" defaultRowHeight="15" x14ac:dyDescent="0.25"/>
  <cols>
    <col min="1" max="1" width="6.85546875" bestFit="1" customWidth="1"/>
    <col min="2" max="2" width="49.85546875" bestFit="1" customWidth="1"/>
    <col min="3" max="3" width="51.42578125" bestFit="1" customWidth="1"/>
    <col min="4" max="4" width="13.5703125" bestFit="1" customWidth="1"/>
    <col min="5" max="5" width="58" bestFit="1" customWidth="1"/>
    <col min="6" max="6" width="5.5703125" bestFit="1" customWidth="1"/>
    <col min="7" max="7" width="6.140625" bestFit="1" customWidth="1"/>
    <col min="8" max="8" width="9.140625" customWidth="1"/>
    <col min="9" max="9" width="8.85546875" customWidth="1"/>
    <col min="10" max="10" width="5.85546875" bestFit="1" customWidth="1"/>
    <col min="11" max="11" width="5.28515625" bestFit="1" customWidth="1"/>
    <col min="12" max="12" width="8.7109375" bestFit="1" customWidth="1"/>
    <col min="13" max="13" width="13.42578125" customWidth="1"/>
    <col min="14" max="14" width="35.5703125" bestFit="1" customWidth="1"/>
    <col min="15" max="16" width="10.140625" bestFit="1" customWidth="1"/>
    <col min="17" max="17" width="15" customWidth="1"/>
    <col min="18" max="18" width="13.42578125" bestFit="1" customWidth="1"/>
    <col min="19" max="19" width="10.140625" bestFit="1" customWidth="1"/>
    <col min="20" max="27" width="8.85546875" customWidth="1"/>
  </cols>
  <sheetData>
    <row r="1" spans="1:23" x14ac:dyDescent="0.25">
      <c r="A1" s="27" t="s">
        <v>26</v>
      </c>
      <c r="B1" s="28"/>
      <c r="C1" s="28"/>
      <c r="D1" s="28"/>
      <c r="E1" s="28"/>
      <c r="F1" s="28"/>
      <c r="G1" s="29"/>
      <c r="N1" s="44"/>
      <c r="O1" s="45"/>
      <c r="P1" s="45"/>
      <c r="Q1" s="45"/>
      <c r="R1" s="45"/>
      <c r="S1" s="45"/>
      <c r="T1" s="45"/>
    </row>
    <row r="2" spans="1:23" x14ac:dyDescent="0.25">
      <c r="A2" s="52" t="s">
        <v>10</v>
      </c>
      <c r="B2" s="53"/>
      <c r="C2" s="53"/>
      <c r="D2" s="53"/>
      <c r="E2" s="53"/>
      <c r="F2" s="53"/>
      <c r="G2" s="54"/>
      <c r="N2" s="45"/>
      <c r="O2" s="46"/>
      <c r="P2" s="46"/>
      <c r="Q2" s="47"/>
      <c r="R2" s="46"/>
      <c r="S2" s="46"/>
      <c r="T2" s="45"/>
    </row>
    <row r="3" spans="1:23" x14ac:dyDescent="0.25">
      <c r="A3" s="55"/>
      <c r="B3" s="53"/>
      <c r="C3" s="53"/>
      <c r="D3" s="53"/>
      <c r="E3" s="53"/>
      <c r="F3" s="53"/>
      <c r="G3" s="54"/>
      <c r="N3" s="45"/>
      <c r="O3" s="45"/>
      <c r="P3" s="45"/>
      <c r="Q3" s="45"/>
      <c r="R3" s="45"/>
      <c r="S3" s="45"/>
      <c r="T3" s="45"/>
    </row>
    <row r="4" spans="1:23" x14ac:dyDescent="0.25">
      <c r="A4" s="55"/>
      <c r="B4" s="53"/>
      <c r="C4" s="53"/>
      <c r="D4" s="53"/>
      <c r="E4" s="53"/>
      <c r="F4" s="53"/>
      <c r="G4" s="54"/>
    </row>
    <row r="5" spans="1:23" x14ac:dyDescent="0.25">
      <c r="A5" s="31"/>
      <c r="B5" s="22"/>
      <c r="C5" s="22"/>
      <c r="D5" s="22"/>
      <c r="E5" s="22"/>
      <c r="F5" s="24"/>
      <c r="G5" s="30"/>
    </row>
    <row r="6" spans="1:23" x14ac:dyDescent="0.25">
      <c r="A6" s="31"/>
      <c r="B6" s="56" t="s">
        <v>0</v>
      </c>
      <c r="C6" s="57"/>
      <c r="D6" s="22"/>
      <c r="E6" s="22"/>
      <c r="F6" s="22"/>
      <c r="G6" s="39" t="s">
        <v>11</v>
      </c>
    </row>
    <row r="7" spans="1:23" x14ac:dyDescent="0.25">
      <c r="A7" s="31"/>
      <c r="B7" s="8" t="s">
        <v>1</v>
      </c>
      <c r="C7" s="37" t="s">
        <v>2</v>
      </c>
      <c r="D7" s="22"/>
      <c r="E7" s="22"/>
      <c r="F7" s="22"/>
      <c r="G7" s="40">
        <v>620</v>
      </c>
      <c r="P7" s="9"/>
      <c r="Q7" s="9"/>
      <c r="S7" s="1"/>
      <c r="T7" s="1"/>
    </row>
    <row r="8" spans="1:23" ht="30" x14ac:dyDescent="0.25">
      <c r="A8" s="31"/>
      <c r="B8" s="36" t="s">
        <v>3</v>
      </c>
      <c r="C8" s="38" t="s">
        <v>25</v>
      </c>
      <c r="D8" s="22"/>
      <c r="E8" s="22"/>
      <c r="F8" s="22"/>
      <c r="G8" s="40">
        <v>1050</v>
      </c>
      <c r="K8" s="1" t="s">
        <v>1</v>
      </c>
      <c r="L8" s="9" t="s">
        <v>14</v>
      </c>
      <c r="M8" s="9"/>
      <c r="S8" s="1"/>
      <c r="T8" s="1"/>
    </row>
    <row r="9" spans="1:23" x14ac:dyDescent="0.25">
      <c r="A9" s="31"/>
      <c r="B9" s="22"/>
      <c r="C9" s="35"/>
      <c r="D9" s="22"/>
      <c r="E9" s="22"/>
      <c r="F9" s="22"/>
      <c r="G9" s="41">
        <v>1200</v>
      </c>
      <c r="J9" s="10" t="s">
        <v>15</v>
      </c>
      <c r="K9" s="11">
        <f>AVERAGE(C17:C1016)</f>
        <v>2288.3502657897443</v>
      </c>
      <c r="L9" s="12">
        <f>AVERAGE(D17:D1016)</f>
        <v>2304.1940477478224</v>
      </c>
      <c r="M9" s="12"/>
      <c r="S9" s="1"/>
      <c r="T9" s="1"/>
    </row>
    <row r="10" spans="1:23" x14ac:dyDescent="0.25">
      <c r="A10" s="31"/>
      <c r="B10" s="8" t="s">
        <v>5</v>
      </c>
      <c r="C10" s="8" t="s">
        <v>6</v>
      </c>
      <c r="D10" s="8" t="s">
        <v>7</v>
      </c>
      <c r="E10" s="22"/>
      <c r="F10" s="22"/>
      <c r="G10" s="40">
        <v>1480</v>
      </c>
      <c r="J10" s="10" t="s">
        <v>16</v>
      </c>
      <c r="K10" s="11">
        <f>_xlfn.STDEV.S(C17:C1016)</f>
        <v>728.43369975432802</v>
      </c>
      <c r="L10" s="12">
        <f>_xlfn.STDEV.S(D17:D1016)</f>
        <v>917.31814610007234</v>
      </c>
      <c r="M10" s="12"/>
      <c r="S10" s="1"/>
      <c r="T10" s="1"/>
    </row>
    <row r="11" spans="1:23" x14ac:dyDescent="0.25">
      <c r="A11" s="31"/>
      <c r="B11" s="6" t="s">
        <v>1</v>
      </c>
      <c r="C11" s="6">
        <v>0</v>
      </c>
      <c r="D11" s="6">
        <v>2</v>
      </c>
      <c r="E11" s="22"/>
      <c r="F11" s="22"/>
      <c r="G11" s="40">
        <v>870</v>
      </c>
      <c r="K11" s="1"/>
      <c r="L11" s="1"/>
      <c r="M11" s="1"/>
      <c r="S11" s="1"/>
      <c r="T11" s="1"/>
    </row>
    <row r="12" spans="1:23" ht="15.75" thickBot="1" x14ac:dyDescent="0.3">
      <c r="A12" s="32"/>
      <c r="B12" s="33" t="s">
        <v>8</v>
      </c>
      <c r="C12" s="33">
        <v>1500</v>
      </c>
      <c r="D12" s="33">
        <v>3.5</v>
      </c>
      <c r="E12" s="34"/>
      <c r="F12" s="34"/>
      <c r="G12" s="42">
        <v>1600</v>
      </c>
      <c r="J12" s="5" t="s">
        <v>18</v>
      </c>
      <c r="K12" s="9">
        <f>MAX(C17:C1016)</f>
        <v>4494.3530534170568</v>
      </c>
      <c r="L12" s="9">
        <f>MAX(D17:D1016)</f>
        <v>5865.1178434798494</v>
      </c>
      <c r="M12" s="9"/>
      <c r="O12" s="43"/>
      <c r="S12" s="1"/>
      <c r="T12" s="1"/>
    </row>
    <row r="13" spans="1:23" x14ac:dyDescent="0.25">
      <c r="A13" s="24"/>
      <c r="B13" s="22"/>
      <c r="C13" s="22"/>
      <c r="D13" s="22"/>
      <c r="E13" s="22"/>
      <c r="F13" s="25" t="s">
        <v>17</v>
      </c>
      <c r="G13" s="26">
        <f>AVERAGE(G7:G12)</f>
        <v>1136.6666666666667</v>
      </c>
      <c r="J13" s="5" t="s">
        <v>20</v>
      </c>
      <c r="K13" s="9">
        <f>MIN(C17:C1016)</f>
        <v>380.98122018948197</v>
      </c>
      <c r="L13" s="9">
        <f>MIN(D17:D1016)</f>
        <v>1500</v>
      </c>
      <c r="M13" s="9"/>
      <c r="O13" s="43"/>
      <c r="R13" s="13"/>
      <c r="S13" s="1"/>
      <c r="T13" s="1"/>
      <c r="U13" s="13"/>
      <c r="V13" s="13"/>
      <c r="W13" s="13"/>
    </row>
    <row r="14" spans="1:23" x14ac:dyDescent="0.25">
      <c r="B14" s="2" t="s">
        <v>27</v>
      </c>
      <c r="C14" s="1"/>
      <c r="D14" s="1"/>
      <c r="F14" s="6" t="s">
        <v>19</v>
      </c>
      <c r="G14" s="7">
        <f>_xlfn.STDEV.S(G7:G12)</f>
        <v>369.3598065121144</v>
      </c>
      <c r="H14" s="1"/>
      <c r="O14" s="43"/>
      <c r="P14" s="1"/>
      <c r="Q14" s="1"/>
      <c r="R14" s="13"/>
      <c r="S14" s="14"/>
      <c r="T14" s="14"/>
      <c r="U14" s="13"/>
      <c r="V14" s="14"/>
      <c r="W14" s="14"/>
    </row>
    <row r="15" spans="1:23" x14ac:dyDescent="0.25">
      <c r="B15" s="1" t="s">
        <v>11</v>
      </c>
      <c r="C15" s="1" t="s">
        <v>28</v>
      </c>
      <c r="D15" s="1" t="s">
        <v>28</v>
      </c>
      <c r="E15" s="5" t="s">
        <v>12</v>
      </c>
      <c r="G15" s="1"/>
      <c r="H15" s="1"/>
      <c r="O15" s="43"/>
      <c r="P15" s="1"/>
      <c r="Q15" s="1"/>
      <c r="S15" s="1"/>
      <c r="T15" s="1"/>
    </row>
    <row r="16" spans="1:23" x14ac:dyDescent="0.25">
      <c r="B16" s="11" t="s">
        <v>21</v>
      </c>
      <c r="C16" s="11" t="s">
        <v>1</v>
      </c>
      <c r="D16" s="11" t="s">
        <v>3</v>
      </c>
      <c r="E16" s="5" t="s">
        <v>13</v>
      </c>
      <c r="F16" s="15"/>
      <c r="G16" s="4"/>
      <c r="H16" s="4"/>
      <c r="O16" s="43"/>
      <c r="P16" s="19"/>
      <c r="Q16" s="20"/>
      <c r="R16" s="19"/>
      <c r="S16" s="19"/>
      <c r="T16" s="1"/>
    </row>
    <row r="17" spans="1:20" x14ac:dyDescent="0.25">
      <c r="B17">
        <v>190.49061009474099</v>
      </c>
      <c r="C17">
        <f>B17*2</f>
        <v>380.98122018948197</v>
      </c>
      <c r="D17" s="1">
        <f>IF(B17&lt;=1000,1500,1500+(B17-1000)*3.5)</f>
        <v>1500</v>
      </c>
      <c r="G17" s="1"/>
      <c r="H17" s="1"/>
      <c r="O17" s="43"/>
      <c r="P17" s="1"/>
      <c r="Q17" s="20"/>
      <c r="S17" s="1"/>
      <c r="T17" s="1"/>
    </row>
    <row r="18" spans="1:20" x14ac:dyDescent="0.25">
      <c r="A18" s="21"/>
      <c r="B18">
        <v>1000.9555519730493</v>
      </c>
      <c r="C18" s="43">
        <f t="shared" ref="C18:C81" si="0">B18*2</f>
        <v>2001.9111039460986</v>
      </c>
      <c r="D18" s="1">
        <f t="shared" ref="D18:D81" si="1">IF(B18&lt;=1000,1500,1500+(B18-1000)*3.5)</f>
        <v>1503.3444319056725</v>
      </c>
      <c r="G18" s="14"/>
      <c r="H18" s="14"/>
      <c r="O18" s="43"/>
      <c r="P18" s="1"/>
      <c r="Q18" s="1"/>
      <c r="S18" s="1"/>
      <c r="T18" s="1"/>
    </row>
    <row r="19" spans="1:20" x14ac:dyDescent="0.25">
      <c r="B19">
        <v>1095.2895134153659</v>
      </c>
      <c r="C19" s="43">
        <f t="shared" si="0"/>
        <v>2190.5790268307319</v>
      </c>
      <c r="D19" s="1">
        <f t="shared" si="1"/>
        <v>1833.5132969537808</v>
      </c>
      <c r="G19" s="1"/>
      <c r="H19" s="1"/>
      <c r="O19" s="43"/>
      <c r="P19" s="1"/>
      <c r="Q19" s="1"/>
      <c r="S19" s="1"/>
      <c r="T19" s="1"/>
    </row>
    <row r="20" spans="1:20" x14ac:dyDescent="0.25">
      <c r="B20">
        <v>1089.2608152346947</v>
      </c>
      <c r="C20" s="43">
        <f t="shared" si="0"/>
        <v>2178.5216304693895</v>
      </c>
      <c r="D20" s="1">
        <f t="shared" si="1"/>
        <v>1812.4128533214316</v>
      </c>
      <c r="G20" s="1"/>
      <c r="H20" s="1"/>
      <c r="O20" s="43"/>
      <c r="P20" s="1"/>
      <c r="Q20" s="1"/>
      <c r="S20" s="1"/>
      <c r="T20" s="1"/>
    </row>
    <row r="21" spans="1:20" x14ac:dyDescent="0.25">
      <c r="B21">
        <v>1537.7886604995292</v>
      </c>
      <c r="C21" s="43">
        <f t="shared" si="0"/>
        <v>3075.5773209990584</v>
      </c>
      <c r="D21" s="1">
        <f t="shared" si="1"/>
        <v>3382.2603117483523</v>
      </c>
      <c r="G21" s="1"/>
      <c r="H21" s="1"/>
      <c r="O21" s="1"/>
      <c r="P21" s="1"/>
      <c r="Q21" s="1"/>
      <c r="S21" s="1"/>
      <c r="T21" s="1"/>
    </row>
    <row r="22" spans="1:20" x14ac:dyDescent="0.25">
      <c r="B22">
        <v>759.87474545519217</v>
      </c>
      <c r="C22" s="43">
        <f t="shared" si="0"/>
        <v>1519.7494909103843</v>
      </c>
      <c r="D22" s="1">
        <f t="shared" si="1"/>
        <v>1500</v>
      </c>
      <c r="G22" s="1"/>
      <c r="H22" s="1"/>
      <c r="O22" s="1"/>
      <c r="P22" s="1"/>
      <c r="Q22" s="1"/>
      <c r="S22" s="1"/>
      <c r="T22" s="1"/>
    </row>
    <row r="23" spans="1:20" x14ac:dyDescent="0.25">
      <c r="B23">
        <v>546.13136470044265</v>
      </c>
      <c r="C23" s="43">
        <f t="shared" si="0"/>
        <v>1092.2627294008853</v>
      </c>
      <c r="D23" s="1">
        <f t="shared" si="1"/>
        <v>1500</v>
      </c>
      <c r="G23" s="1"/>
      <c r="H23" s="1"/>
      <c r="O23" s="1"/>
      <c r="P23" s="1"/>
      <c r="Q23" s="1"/>
      <c r="S23" s="1"/>
      <c r="T23" s="1"/>
    </row>
    <row r="24" spans="1:20" x14ac:dyDescent="0.25">
      <c r="B24">
        <v>1054.8752955231175</v>
      </c>
      <c r="C24" s="43">
        <f>B24*2</f>
        <v>2109.7505910462351</v>
      </c>
      <c r="D24" s="1">
        <f t="shared" si="1"/>
        <v>1692.0635343309114</v>
      </c>
      <c r="G24" s="1"/>
      <c r="H24" s="1"/>
      <c r="O24" s="1"/>
      <c r="P24" s="1"/>
      <c r="Q24" s="1"/>
      <c r="S24" s="1"/>
      <c r="T24" s="1"/>
    </row>
    <row r="25" spans="1:20" x14ac:dyDescent="0.25">
      <c r="B25">
        <v>1113.5689995001594</v>
      </c>
      <c r="C25" s="43">
        <f t="shared" si="0"/>
        <v>2227.1379990003188</v>
      </c>
      <c r="D25" s="1">
        <f t="shared" si="1"/>
        <v>1897.4914982505579</v>
      </c>
      <c r="G25" s="1"/>
      <c r="H25" s="1"/>
      <c r="O25" s="1"/>
      <c r="P25" s="1"/>
      <c r="Q25" s="1"/>
      <c r="S25" s="1"/>
      <c r="T25" s="1"/>
    </row>
    <row r="26" spans="1:20" x14ac:dyDescent="0.25">
      <c r="B26">
        <v>1071.2066030294518</v>
      </c>
      <c r="C26" s="43">
        <f t="shared" si="0"/>
        <v>2142.4132060589036</v>
      </c>
      <c r="D26" s="1">
        <f t="shared" si="1"/>
        <v>1749.2231106030813</v>
      </c>
      <c r="G26" s="1"/>
      <c r="H26" s="1"/>
      <c r="O26" s="1"/>
      <c r="P26" s="1"/>
      <c r="Q26" s="1"/>
      <c r="S26" s="1"/>
      <c r="T26" s="1"/>
    </row>
    <row r="27" spans="1:20" x14ac:dyDescent="0.25">
      <c r="B27">
        <v>2205.4811422834173</v>
      </c>
      <c r="C27" s="43">
        <f t="shared" si="0"/>
        <v>4410.9622845668346</v>
      </c>
      <c r="D27" s="1">
        <f t="shared" si="1"/>
        <v>5719.1839979919605</v>
      </c>
      <c r="G27" s="1"/>
      <c r="H27" s="1"/>
      <c r="O27" s="1"/>
      <c r="P27" s="1"/>
      <c r="Q27" s="1"/>
      <c r="S27" s="1"/>
      <c r="T27" s="1"/>
    </row>
    <row r="28" spans="1:20" x14ac:dyDescent="0.25">
      <c r="B28">
        <v>1634.8091283192043</v>
      </c>
      <c r="C28" s="43">
        <f t="shared" si="0"/>
        <v>3269.6182566384086</v>
      </c>
      <c r="D28" s="1">
        <f t="shared" si="1"/>
        <v>3721.8319491172151</v>
      </c>
      <c r="G28" s="1"/>
      <c r="H28" s="1"/>
      <c r="O28" s="1"/>
      <c r="P28" s="1"/>
      <c r="Q28" s="1"/>
      <c r="S28" s="1"/>
      <c r="T28" s="1"/>
    </row>
    <row r="29" spans="1:20" x14ac:dyDescent="0.25">
      <c r="B29">
        <v>562.81253890239168</v>
      </c>
      <c r="C29" s="43">
        <f t="shared" si="0"/>
        <v>1125.6250778047834</v>
      </c>
      <c r="D29" s="1">
        <f t="shared" si="1"/>
        <v>1500</v>
      </c>
      <c r="G29" s="1"/>
      <c r="H29" s="1"/>
      <c r="O29" s="1"/>
      <c r="P29" s="1"/>
      <c r="Q29" s="1"/>
      <c r="S29" s="1"/>
      <c r="T29" s="1"/>
    </row>
    <row r="30" spans="1:20" x14ac:dyDescent="0.25">
      <c r="B30">
        <v>835.22780940376106</v>
      </c>
      <c r="C30" s="43">
        <f t="shared" si="0"/>
        <v>1670.4556188075221</v>
      </c>
      <c r="D30" s="1">
        <f t="shared" si="1"/>
        <v>1500</v>
      </c>
      <c r="G30" s="1"/>
      <c r="H30" s="1"/>
      <c r="O30" s="1"/>
      <c r="P30" s="1"/>
      <c r="Q30" s="1"/>
      <c r="S30" s="1"/>
      <c r="T30" s="1"/>
    </row>
    <row r="31" spans="1:20" x14ac:dyDescent="0.25">
      <c r="B31">
        <v>1348.5904840138683</v>
      </c>
      <c r="C31" s="43">
        <f t="shared" si="0"/>
        <v>2697.1809680277365</v>
      </c>
      <c r="D31" s="1">
        <f t="shared" si="1"/>
        <v>2720.0666940485389</v>
      </c>
      <c r="G31" s="1"/>
      <c r="H31" s="1"/>
      <c r="O31" s="1"/>
      <c r="P31" s="1"/>
      <c r="Q31" s="1"/>
      <c r="S31" s="1"/>
      <c r="T31" s="1"/>
    </row>
    <row r="32" spans="1:20" x14ac:dyDescent="0.25">
      <c r="B32">
        <v>1279.7137294740533</v>
      </c>
      <c r="C32" s="43">
        <f t="shared" si="0"/>
        <v>2559.4274589481065</v>
      </c>
      <c r="D32" s="1">
        <f t="shared" si="1"/>
        <v>2478.9980531591864</v>
      </c>
      <c r="G32" s="1"/>
      <c r="H32" s="1"/>
      <c r="O32" s="1"/>
      <c r="P32" s="1"/>
      <c r="Q32" s="1"/>
      <c r="S32" s="1"/>
      <c r="T32" s="1"/>
    </row>
    <row r="33" spans="2:24" x14ac:dyDescent="0.25">
      <c r="B33">
        <v>275.30433797556907</v>
      </c>
      <c r="C33" s="43">
        <f t="shared" si="0"/>
        <v>550.60867595113814</v>
      </c>
      <c r="D33" s="1">
        <f t="shared" si="1"/>
        <v>1500</v>
      </c>
      <c r="G33" s="1"/>
      <c r="H33" s="1"/>
      <c r="O33" s="1"/>
      <c r="P33" s="1"/>
      <c r="Q33" s="1"/>
      <c r="S33" s="1"/>
      <c r="T33" s="1"/>
    </row>
    <row r="34" spans="2:24" x14ac:dyDescent="0.25">
      <c r="B34">
        <v>936.98490175603365</v>
      </c>
      <c r="C34" s="43">
        <f t="shared" si="0"/>
        <v>1873.9698035120673</v>
      </c>
      <c r="D34" s="1">
        <f t="shared" si="1"/>
        <v>1500</v>
      </c>
      <c r="G34" s="1"/>
      <c r="H34" s="1"/>
      <c r="O34" s="1"/>
      <c r="P34" s="1"/>
      <c r="Q34" s="1"/>
      <c r="S34" s="1"/>
      <c r="T34" s="1"/>
    </row>
    <row r="35" spans="2:24" x14ac:dyDescent="0.25">
      <c r="B35">
        <v>970.80367098106944</v>
      </c>
      <c r="C35" s="43">
        <f t="shared" si="0"/>
        <v>1941.6073419621389</v>
      </c>
      <c r="D35" s="1">
        <f t="shared" si="1"/>
        <v>1500</v>
      </c>
      <c r="G35" s="1"/>
      <c r="H35" s="1"/>
      <c r="O35" s="1"/>
      <c r="P35" s="1"/>
      <c r="Q35" s="1"/>
      <c r="S35" s="1"/>
      <c r="T35" s="1"/>
    </row>
    <row r="36" spans="2:24" x14ac:dyDescent="0.25">
      <c r="B36">
        <v>776.98213615923305</v>
      </c>
      <c r="C36" s="43">
        <f t="shared" si="0"/>
        <v>1553.9642723184661</v>
      </c>
      <c r="D36" s="1">
        <f t="shared" si="1"/>
        <v>1500</v>
      </c>
      <c r="G36" s="1"/>
      <c r="H36" s="1"/>
      <c r="O36" s="1"/>
      <c r="P36" s="1"/>
      <c r="Q36" s="1"/>
      <c r="S36" s="1"/>
      <c r="T36" s="1"/>
    </row>
    <row r="37" spans="2:24" x14ac:dyDescent="0.25">
      <c r="B37">
        <v>1206.8701410328795</v>
      </c>
      <c r="C37" s="43">
        <f t="shared" si="0"/>
        <v>2413.7402820657589</v>
      </c>
      <c r="D37" s="1">
        <f t="shared" si="1"/>
        <v>2224.0454936150782</v>
      </c>
      <c r="G37" s="1"/>
      <c r="H37" s="1"/>
      <c r="O37" s="1"/>
      <c r="P37" s="1"/>
      <c r="Q37" s="1"/>
      <c r="S37" s="1"/>
      <c r="T37" s="1"/>
    </row>
    <row r="38" spans="2:24" x14ac:dyDescent="0.25">
      <c r="B38">
        <v>1554.1703085376066</v>
      </c>
      <c r="C38" s="43">
        <f t="shared" si="0"/>
        <v>3108.3406170752132</v>
      </c>
      <c r="D38" s="1">
        <f t="shared" si="1"/>
        <v>3439.5960798816232</v>
      </c>
      <c r="G38" s="1"/>
      <c r="H38" s="1"/>
      <c r="O38" s="1"/>
      <c r="P38" s="1"/>
      <c r="Q38" s="1"/>
      <c r="S38" s="1"/>
      <c r="T38" s="1"/>
    </row>
    <row r="39" spans="2:24" x14ac:dyDescent="0.25">
      <c r="B39">
        <v>1989.0705523551442</v>
      </c>
      <c r="C39" s="43">
        <f t="shared" si="0"/>
        <v>3978.1411047102883</v>
      </c>
      <c r="D39" s="1">
        <f t="shared" si="1"/>
        <v>4961.7469332430046</v>
      </c>
      <c r="G39" s="1"/>
      <c r="H39" s="1"/>
      <c r="O39" s="1"/>
      <c r="P39" s="1"/>
      <c r="Q39" s="1"/>
      <c r="S39" s="1"/>
      <c r="T39" s="1"/>
    </row>
    <row r="40" spans="2:24" x14ac:dyDescent="0.25">
      <c r="B40">
        <v>998.14151624860824</v>
      </c>
      <c r="C40" s="43">
        <f t="shared" si="0"/>
        <v>1996.2830324972165</v>
      </c>
      <c r="D40" s="1">
        <f t="shared" si="1"/>
        <v>1500</v>
      </c>
      <c r="G40" s="1"/>
      <c r="H40" s="1"/>
      <c r="O40" s="1"/>
      <c r="P40" s="1"/>
      <c r="Q40" s="1"/>
      <c r="S40" s="1"/>
      <c r="T40" s="1"/>
    </row>
    <row r="41" spans="2:24" x14ac:dyDescent="0.25">
      <c r="B41">
        <v>1033.1348978809838</v>
      </c>
      <c r="C41" s="43">
        <f t="shared" si="0"/>
        <v>2066.2697957619675</v>
      </c>
      <c r="D41" s="1">
        <f t="shared" si="1"/>
        <v>1615.9721425834432</v>
      </c>
      <c r="G41" s="1"/>
      <c r="H41" s="1"/>
      <c r="I41" s="13"/>
      <c r="J41" s="13"/>
      <c r="K41" s="13"/>
      <c r="L41" s="13"/>
      <c r="M41" s="13"/>
      <c r="N41" s="13"/>
      <c r="O41" s="1"/>
      <c r="P41" s="1"/>
      <c r="Q41" s="1"/>
      <c r="R41" s="13"/>
      <c r="S41" s="1"/>
      <c r="T41" s="1"/>
      <c r="U41" s="13"/>
      <c r="V41" s="13"/>
      <c r="W41" s="13"/>
      <c r="X41" s="13"/>
    </row>
    <row r="42" spans="2:24" x14ac:dyDescent="0.25">
      <c r="B42">
        <v>1173.9415602108347</v>
      </c>
      <c r="C42" s="43">
        <f t="shared" si="0"/>
        <v>2347.8831204216694</v>
      </c>
      <c r="D42" s="1">
        <f t="shared" si="1"/>
        <v>2108.7954607379215</v>
      </c>
      <c r="G42" s="1"/>
      <c r="H42" s="1"/>
      <c r="I42" s="13"/>
      <c r="J42" s="13"/>
      <c r="K42" s="13"/>
      <c r="L42" s="13"/>
      <c r="M42" s="13"/>
      <c r="N42" s="13"/>
      <c r="O42" s="1"/>
      <c r="P42" s="1"/>
      <c r="Q42" s="1"/>
      <c r="R42" s="13"/>
      <c r="S42" s="1"/>
      <c r="T42" s="1"/>
      <c r="U42" s="13"/>
      <c r="V42" s="13"/>
      <c r="W42" s="13"/>
      <c r="X42" s="13"/>
    </row>
    <row r="43" spans="2:24" x14ac:dyDescent="0.25">
      <c r="B43">
        <v>1595.1726716423873</v>
      </c>
      <c r="C43" s="43">
        <f t="shared" si="0"/>
        <v>3190.3453432847746</v>
      </c>
      <c r="D43" s="1">
        <f t="shared" si="1"/>
        <v>3583.1043507483555</v>
      </c>
      <c r="G43" s="1"/>
      <c r="H43" s="1"/>
      <c r="I43" s="13"/>
      <c r="J43" s="13"/>
      <c r="K43" s="13"/>
      <c r="L43" s="13"/>
      <c r="M43" s="13"/>
      <c r="N43" s="13"/>
      <c r="O43" s="1"/>
      <c r="P43" s="1"/>
      <c r="Q43" s="1"/>
      <c r="R43" s="13"/>
      <c r="S43" s="1"/>
      <c r="T43" s="1"/>
      <c r="U43" s="13"/>
      <c r="V43" s="13"/>
      <c r="W43" s="13"/>
      <c r="X43" s="13"/>
    </row>
    <row r="44" spans="2:24" x14ac:dyDescent="0.25">
      <c r="B44">
        <v>799.6563506652019</v>
      </c>
      <c r="C44" s="43">
        <f t="shared" si="0"/>
        <v>1599.3127013304038</v>
      </c>
      <c r="D44" s="1">
        <f t="shared" si="1"/>
        <v>1500</v>
      </c>
      <c r="G44" s="1"/>
      <c r="H44" s="1"/>
      <c r="I44" s="13"/>
      <c r="J44" s="13"/>
      <c r="K44" s="13"/>
      <c r="L44" s="13"/>
      <c r="M44" s="13"/>
      <c r="N44" s="13"/>
      <c r="O44" s="1"/>
      <c r="P44" s="1"/>
      <c r="Q44" s="1"/>
      <c r="R44" s="13"/>
      <c r="S44" s="1"/>
      <c r="T44" s="1"/>
      <c r="U44" s="13"/>
      <c r="V44" s="13"/>
      <c r="W44" s="13"/>
      <c r="X44" s="13"/>
    </row>
    <row r="45" spans="2:24" x14ac:dyDescent="0.25">
      <c r="B45">
        <v>1132.6103056319989</v>
      </c>
      <c r="C45" s="43">
        <f t="shared" si="0"/>
        <v>2265.2206112639979</v>
      </c>
      <c r="D45" s="1">
        <f t="shared" si="1"/>
        <v>1964.1360697119962</v>
      </c>
      <c r="G45" s="1"/>
      <c r="H45" s="1"/>
      <c r="I45" s="13"/>
      <c r="J45" s="13"/>
      <c r="K45" s="13"/>
      <c r="L45" s="13"/>
      <c r="M45" s="13"/>
      <c r="N45" s="13"/>
      <c r="O45" s="1"/>
      <c r="P45" s="1"/>
      <c r="Q45" s="1"/>
      <c r="R45" s="13"/>
      <c r="S45" s="1"/>
      <c r="T45" s="1"/>
      <c r="U45" s="13"/>
      <c r="V45" s="13"/>
      <c r="W45" s="13"/>
      <c r="X45" s="13"/>
    </row>
    <row r="46" spans="2:24" x14ac:dyDescent="0.25">
      <c r="B46">
        <v>1551.2421676078811</v>
      </c>
      <c r="C46" s="43">
        <f t="shared" si="0"/>
        <v>3102.4843352157623</v>
      </c>
      <c r="D46" s="1">
        <f t="shared" si="1"/>
        <v>3429.347586627584</v>
      </c>
      <c r="G46" s="1"/>
      <c r="H46" s="1"/>
      <c r="I46" s="13"/>
      <c r="J46" s="13"/>
      <c r="K46" s="13"/>
      <c r="L46" s="13"/>
      <c r="M46" s="13"/>
      <c r="N46" s="13"/>
      <c r="O46" s="1"/>
      <c r="P46" s="1"/>
      <c r="Q46" s="1"/>
      <c r="R46" s="13"/>
      <c r="S46" s="1"/>
      <c r="T46" s="1"/>
      <c r="U46" s="13"/>
      <c r="V46" s="13"/>
      <c r="W46" s="13"/>
      <c r="X46" s="13"/>
    </row>
    <row r="47" spans="2:24" x14ac:dyDescent="0.25">
      <c r="B47">
        <v>1372.0529473460483</v>
      </c>
      <c r="C47" s="43">
        <f t="shared" si="0"/>
        <v>2744.1058946920966</v>
      </c>
      <c r="D47" s="1">
        <f t="shared" si="1"/>
        <v>2802.1853157111691</v>
      </c>
      <c r="G47" s="1"/>
      <c r="H47" s="1"/>
      <c r="I47" s="13"/>
      <c r="J47" s="13"/>
      <c r="K47" s="13"/>
      <c r="L47" s="13"/>
      <c r="M47" s="13"/>
      <c r="N47" s="13"/>
      <c r="O47" s="13"/>
      <c r="P47" s="13"/>
      <c r="Q47" s="13"/>
      <c r="R47" s="13"/>
      <c r="S47" s="13"/>
      <c r="T47" s="13"/>
      <c r="U47" s="13"/>
      <c r="V47" s="13"/>
      <c r="W47" s="13"/>
      <c r="X47" s="13"/>
    </row>
    <row r="48" spans="2:24" x14ac:dyDescent="0.25">
      <c r="B48">
        <v>1474.3436493347981</v>
      </c>
      <c r="C48" s="43">
        <f t="shared" si="0"/>
        <v>2948.6872986695962</v>
      </c>
      <c r="D48" s="1">
        <f t="shared" si="1"/>
        <v>3160.2027726717934</v>
      </c>
      <c r="G48" s="1"/>
      <c r="H48" s="1"/>
      <c r="I48" s="13"/>
      <c r="J48" s="13"/>
      <c r="K48" s="13"/>
      <c r="L48" s="13"/>
      <c r="M48" s="13"/>
      <c r="N48" s="13"/>
      <c r="O48" s="13"/>
      <c r="P48" s="13"/>
      <c r="Q48" s="13"/>
      <c r="R48" s="13"/>
      <c r="S48" s="13"/>
      <c r="T48" s="13"/>
      <c r="U48" s="13"/>
      <c r="V48" s="13"/>
      <c r="W48" s="13"/>
      <c r="X48" s="13"/>
    </row>
    <row r="49" spans="2:24" x14ac:dyDescent="0.25">
      <c r="B49">
        <v>449.97591501788702</v>
      </c>
      <c r="C49" s="43">
        <f t="shared" si="0"/>
        <v>899.95183003577404</v>
      </c>
      <c r="D49" s="1">
        <f t="shared" si="1"/>
        <v>1500</v>
      </c>
      <c r="G49" s="1"/>
      <c r="H49" s="1"/>
      <c r="I49" s="13"/>
      <c r="J49" s="13"/>
      <c r="K49" s="13"/>
      <c r="L49" s="13"/>
      <c r="M49" s="13"/>
      <c r="N49" s="13"/>
      <c r="O49" s="13"/>
      <c r="P49" s="13"/>
      <c r="Q49" s="13"/>
      <c r="R49" s="13"/>
      <c r="S49" s="13"/>
      <c r="T49" s="13"/>
      <c r="U49" s="13"/>
      <c r="V49" s="13"/>
      <c r="W49" s="13"/>
      <c r="X49" s="13"/>
    </row>
    <row r="50" spans="2:24" x14ac:dyDescent="0.25">
      <c r="B50">
        <v>1794.6487066922709</v>
      </c>
      <c r="C50" s="43">
        <f t="shared" si="0"/>
        <v>3589.2974133845419</v>
      </c>
      <c r="D50" s="1">
        <f t="shared" si="1"/>
        <v>4281.2704734229483</v>
      </c>
      <c r="G50" s="1"/>
      <c r="H50" s="1"/>
      <c r="I50" s="13"/>
      <c r="J50" s="13"/>
      <c r="K50" s="13"/>
      <c r="L50" s="13"/>
      <c r="M50" s="13"/>
      <c r="N50" s="13"/>
      <c r="O50" s="13"/>
      <c r="P50" s="13"/>
      <c r="Q50" s="13"/>
      <c r="R50" s="13"/>
      <c r="S50" s="13"/>
      <c r="T50" s="13"/>
      <c r="U50" s="13"/>
      <c r="V50" s="13"/>
      <c r="W50" s="13"/>
      <c r="X50" s="13"/>
    </row>
    <row r="51" spans="2:24" x14ac:dyDescent="0.25">
      <c r="B51">
        <v>768.71370382042369</v>
      </c>
      <c r="C51" s="43">
        <f t="shared" si="0"/>
        <v>1537.4274076408474</v>
      </c>
      <c r="D51" s="1">
        <f t="shared" si="1"/>
        <v>1500</v>
      </c>
      <c r="G51" s="1"/>
      <c r="H51" s="1"/>
    </row>
    <row r="52" spans="2:24" x14ac:dyDescent="0.25">
      <c r="B52">
        <v>450.29473838559352</v>
      </c>
      <c r="C52" s="43">
        <f t="shared" si="0"/>
        <v>900.58947677118704</v>
      </c>
      <c r="D52" s="1">
        <f t="shared" si="1"/>
        <v>1500</v>
      </c>
      <c r="G52" s="1"/>
      <c r="H52" s="1"/>
    </row>
    <row r="53" spans="2:24" x14ac:dyDescent="0.25">
      <c r="B53">
        <v>864.38756241597002</v>
      </c>
      <c r="C53" s="43">
        <f t="shared" si="0"/>
        <v>1728.77512483194</v>
      </c>
      <c r="D53" s="1">
        <f t="shared" si="1"/>
        <v>1500</v>
      </c>
      <c r="G53" s="1"/>
      <c r="H53" s="1"/>
    </row>
    <row r="54" spans="2:24" x14ac:dyDescent="0.25">
      <c r="B54">
        <v>632.44524042721605</v>
      </c>
      <c r="C54" s="43">
        <f t="shared" si="0"/>
        <v>1264.8904808544321</v>
      </c>
      <c r="D54" s="1">
        <f t="shared" si="1"/>
        <v>1500</v>
      </c>
      <c r="G54" s="1"/>
      <c r="H54" s="1"/>
    </row>
    <row r="55" spans="2:24" x14ac:dyDescent="0.25">
      <c r="B55">
        <v>1829.8602306288667</v>
      </c>
      <c r="C55" s="43">
        <f t="shared" si="0"/>
        <v>3659.7204612577334</v>
      </c>
      <c r="D55" s="1">
        <f t="shared" si="1"/>
        <v>4404.5108072010335</v>
      </c>
      <c r="G55" s="1"/>
      <c r="H55" s="1"/>
    </row>
    <row r="56" spans="2:24" x14ac:dyDescent="0.25">
      <c r="B56">
        <v>514.40508357819635</v>
      </c>
      <c r="C56" s="43">
        <f t="shared" si="0"/>
        <v>1028.8101671563927</v>
      </c>
      <c r="D56" s="1">
        <f t="shared" si="1"/>
        <v>1500</v>
      </c>
      <c r="G56" s="1"/>
      <c r="H56" s="1"/>
    </row>
    <row r="57" spans="2:24" x14ac:dyDescent="0.25">
      <c r="B57">
        <v>1587.5225888351561</v>
      </c>
      <c r="C57" s="43">
        <f t="shared" si="0"/>
        <v>3175.0451776703121</v>
      </c>
      <c r="D57" s="1">
        <f t="shared" si="1"/>
        <v>3556.3290609230462</v>
      </c>
      <c r="G57" s="1"/>
      <c r="H57" s="1"/>
    </row>
    <row r="58" spans="2:24" x14ac:dyDescent="0.25">
      <c r="B58">
        <v>1570.0661704443628</v>
      </c>
      <c r="C58" s="43">
        <f t="shared" si="0"/>
        <v>3140.1323408887256</v>
      </c>
      <c r="D58" s="1">
        <f t="shared" si="1"/>
        <v>3495.2315965552698</v>
      </c>
      <c r="G58" s="1"/>
      <c r="H58" s="1"/>
    </row>
    <row r="59" spans="2:24" x14ac:dyDescent="0.25">
      <c r="B59">
        <v>1274.4657290398318</v>
      </c>
      <c r="C59" s="43">
        <f t="shared" si="0"/>
        <v>2548.9314580796636</v>
      </c>
      <c r="D59" s="1">
        <f t="shared" si="1"/>
        <v>2460.6300516394112</v>
      </c>
      <c r="G59" s="1"/>
      <c r="H59" s="1"/>
    </row>
    <row r="60" spans="2:24" x14ac:dyDescent="0.25">
      <c r="B60">
        <v>1374.2003905293241</v>
      </c>
      <c r="C60" s="43">
        <f t="shared" si="0"/>
        <v>2748.4007810586481</v>
      </c>
      <c r="D60" s="1">
        <f t="shared" si="1"/>
        <v>2809.7013668526342</v>
      </c>
      <c r="G60" s="1"/>
      <c r="H60" s="1"/>
    </row>
    <row r="61" spans="2:24" x14ac:dyDescent="0.25">
      <c r="B61">
        <v>1818.6644963691942</v>
      </c>
      <c r="C61" s="43">
        <f t="shared" si="0"/>
        <v>3637.3289927383885</v>
      </c>
      <c r="D61" s="1">
        <f t="shared" si="1"/>
        <v>4365.3257372921798</v>
      </c>
      <c r="G61" s="1"/>
      <c r="H61" s="1"/>
    </row>
    <row r="62" spans="2:24" x14ac:dyDescent="0.25">
      <c r="B62">
        <v>819.04248943948187</v>
      </c>
      <c r="C62" s="43">
        <f t="shared" si="0"/>
        <v>1638.0849788789637</v>
      </c>
      <c r="D62" s="1">
        <f t="shared" si="1"/>
        <v>1500</v>
      </c>
      <c r="G62" s="1"/>
      <c r="H62" s="1"/>
    </row>
    <row r="63" spans="2:24" x14ac:dyDescent="0.25">
      <c r="B63">
        <v>1739.6634218869731</v>
      </c>
      <c r="C63" s="43">
        <f t="shared" si="0"/>
        <v>3479.3268437739462</v>
      </c>
      <c r="D63" s="1">
        <f t="shared" si="1"/>
        <v>4088.8219766044058</v>
      </c>
      <c r="G63" s="1"/>
      <c r="H63" s="1"/>
    </row>
    <row r="64" spans="2:24" x14ac:dyDescent="0.25">
      <c r="B64">
        <v>1029.0459881901479</v>
      </c>
      <c r="C64" s="43">
        <f t="shared" si="0"/>
        <v>2058.0919763802958</v>
      </c>
      <c r="D64" s="1">
        <f t="shared" si="1"/>
        <v>1601.6609586655177</v>
      </c>
      <c r="G64" s="1"/>
      <c r="H64" s="1"/>
    </row>
    <row r="65" spans="2:8" x14ac:dyDescent="0.25">
      <c r="B65">
        <v>1107.9090457145066</v>
      </c>
      <c r="C65" s="43">
        <f t="shared" si="0"/>
        <v>2215.8180914290133</v>
      </c>
      <c r="D65" s="1">
        <f t="shared" si="1"/>
        <v>1877.6816600007733</v>
      </c>
      <c r="G65" s="1"/>
      <c r="H65" s="1"/>
    </row>
    <row r="66" spans="2:8" x14ac:dyDescent="0.25">
      <c r="B66">
        <v>598.26234135590494</v>
      </c>
      <c r="C66" s="43">
        <f t="shared" si="0"/>
        <v>1196.5246827118099</v>
      </c>
      <c r="D66" s="1">
        <f t="shared" si="1"/>
        <v>1500</v>
      </c>
      <c r="G66" s="1"/>
      <c r="H66" s="1"/>
    </row>
    <row r="67" spans="2:8" x14ac:dyDescent="0.25">
      <c r="B67">
        <v>675.82199861254776</v>
      </c>
      <c r="C67" s="43">
        <f t="shared" si="0"/>
        <v>1351.6439972250955</v>
      </c>
      <c r="D67" s="1">
        <f t="shared" si="1"/>
        <v>1500</v>
      </c>
      <c r="G67" s="1"/>
      <c r="H67" s="1"/>
    </row>
    <row r="68" spans="2:8" x14ac:dyDescent="0.25">
      <c r="B68">
        <v>1384.7450539117854</v>
      </c>
      <c r="C68" s="43">
        <f t="shared" si="0"/>
        <v>2769.4901078235707</v>
      </c>
      <c r="D68" s="1">
        <f t="shared" si="1"/>
        <v>2846.6076886912488</v>
      </c>
      <c r="G68" s="1"/>
      <c r="H68" s="1"/>
    </row>
    <row r="69" spans="2:8" x14ac:dyDescent="0.25">
      <c r="B69">
        <v>895.82900002943643</v>
      </c>
      <c r="C69" s="43">
        <f t="shared" si="0"/>
        <v>1791.6580000588729</v>
      </c>
      <c r="D69" s="1">
        <f t="shared" si="1"/>
        <v>1500</v>
      </c>
      <c r="G69" s="1"/>
      <c r="H69" s="1"/>
    </row>
    <row r="70" spans="2:8" x14ac:dyDescent="0.25">
      <c r="B70">
        <v>1637.7003528589848</v>
      </c>
      <c r="C70" s="43">
        <f t="shared" si="0"/>
        <v>3275.4007057179697</v>
      </c>
      <c r="D70" s="1">
        <f t="shared" si="1"/>
        <v>3731.951235006447</v>
      </c>
      <c r="G70" s="1"/>
      <c r="H70" s="1"/>
    </row>
    <row r="71" spans="2:8" x14ac:dyDescent="0.25">
      <c r="B71">
        <v>1074.7598055616545</v>
      </c>
      <c r="C71" s="43">
        <f t="shared" si="0"/>
        <v>2149.519611123309</v>
      </c>
      <c r="D71" s="1">
        <f t="shared" si="1"/>
        <v>1761.6593194657908</v>
      </c>
      <c r="G71" s="1"/>
      <c r="H71" s="1"/>
    </row>
    <row r="72" spans="2:8" x14ac:dyDescent="0.25">
      <c r="B72">
        <v>1492.9058814062155</v>
      </c>
      <c r="C72" s="43">
        <f t="shared" si="0"/>
        <v>2985.811762812431</v>
      </c>
      <c r="D72" s="1">
        <f t="shared" si="1"/>
        <v>3225.1705849217542</v>
      </c>
      <c r="G72" s="1"/>
      <c r="H72" s="1"/>
    </row>
    <row r="73" spans="2:8" x14ac:dyDescent="0.25">
      <c r="B73">
        <v>1861.8096881085075</v>
      </c>
      <c r="C73" s="43">
        <f t="shared" si="0"/>
        <v>3723.6193762170151</v>
      </c>
      <c r="D73" s="1">
        <f t="shared" si="1"/>
        <v>4516.3339083797764</v>
      </c>
      <c r="G73" s="1"/>
      <c r="H73" s="1"/>
    </row>
    <row r="74" spans="2:8" x14ac:dyDescent="0.25">
      <c r="B74">
        <v>995.71468311415811</v>
      </c>
      <c r="C74" s="43">
        <f t="shared" si="0"/>
        <v>1991.4293662283162</v>
      </c>
      <c r="D74" s="1">
        <f t="shared" si="1"/>
        <v>1500</v>
      </c>
      <c r="G74" s="1"/>
      <c r="H74" s="1"/>
    </row>
    <row r="75" spans="2:8" x14ac:dyDescent="0.25">
      <c r="B75">
        <v>1489.5498459566734</v>
      </c>
      <c r="C75" s="43">
        <f t="shared" si="0"/>
        <v>2979.0996919133468</v>
      </c>
      <c r="D75" s="1">
        <f t="shared" si="1"/>
        <v>3213.4244608483568</v>
      </c>
      <c r="G75" s="1"/>
      <c r="H75" s="1"/>
    </row>
    <row r="76" spans="2:8" x14ac:dyDescent="0.25">
      <c r="B76">
        <v>390.58079963189084</v>
      </c>
      <c r="C76" s="43">
        <f t="shared" si="0"/>
        <v>781.16159926378168</v>
      </c>
      <c r="D76" s="1">
        <f t="shared" si="1"/>
        <v>1500</v>
      </c>
      <c r="G76" s="1"/>
      <c r="H76" s="1"/>
    </row>
    <row r="77" spans="2:8" x14ac:dyDescent="0.25">
      <c r="B77">
        <v>1344.7755107166013</v>
      </c>
      <c r="C77" s="43">
        <f t="shared" si="0"/>
        <v>2689.5510214332025</v>
      </c>
      <c r="D77" s="1">
        <f t="shared" si="1"/>
        <v>2706.7142875081045</v>
      </c>
      <c r="G77" s="1"/>
      <c r="H77" s="1"/>
    </row>
    <row r="78" spans="2:8" x14ac:dyDescent="0.25">
      <c r="B78">
        <v>1570.6853589848033</v>
      </c>
      <c r="C78" s="43">
        <f t="shared" si="0"/>
        <v>3141.3707179696066</v>
      </c>
      <c r="D78" s="1">
        <f t="shared" si="1"/>
        <v>3497.3987564468116</v>
      </c>
      <c r="G78" s="1"/>
      <c r="H78" s="1"/>
    </row>
    <row r="79" spans="2:8" x14ac:dyDescent="0.25">
      <c r="B79">
        <v>482.36836917686742</v>
      </c>
      <c r="C79" s="43">
        <f t="shared" si="0"/>
        <v>964.73673835373484</v>
      </c>
      <c r="D79" s="1">
        <f t="shared" si="1"/>
        <v>1500</v>
      </c>
      <c r="G79" s="1"/>
      <c r="H79" s="1"/>
    </row>
    <row r="80" spans="2:8" x14ac:dyDescent="0.25">
      <c r="B80">
        <v>1700.6260175378993</v>
      </c>
      <c r="C80" s="43">
        <f t="shared" si="0"/>
        <v>3401.2520350757986</v>
      </c>
      <c r="D80" s="1">
        <f t="shared" si="1"/>
        <v>3952.1910613826476</v>
      </c>
      <c r="G80" s="1"/>
      <c r="H80" s="1"/>
    </row>
    <row r="81" spans="2:8" x14ac:dyDescent="0.25">
      <c r="B81">
        <v>1213.145507819092</v>
      </c>
      <c r="C81" s="43">
        <f t="shared" si="0"/>
        <v>2426.291015638184</v>
      </c>
      <c r="D81" s="1">
        <f t="shared" si="1"/>
        <v>2246.0092773668221</v>
      </c>
      <c r="G81" s="1"/>
      <c r="H81" s="1"/>
    </row>
    <row r="82" spans="2:8" x14ac:dyDescent="0.25">
      <c r="B82">
        <v>1383.8615775796934</v>
      </c>
      <c r="C82" s="43">
        <f t="shared" ref="C82:C145" si="2">B82*2</f>
        <v>2767.7231551593868</v>
      </c>
      <c r="D82" s="1">
        <f t="shared" ref="D82:D145" si="3">IF(B82&lt;=1000,1500,1500+(B82-1000)*3.5)</f>
        <v>2843.5155215289269</v>
      </c>
      <c r="G82" s="1"/>
      <c r="H82" s="1"/>
    </row>
    <row r="83" spans="2:8" x14ac:dyDescent="0.25">
      <c r="B83">
        <v>592.20805340493098</v>
      </c>
      <c r="C83" s="43">
        <f t="shared" si="2"/>
        <v>1184.416106809862</v>
      </c>
      <c r="D83" s="1">
        <f t="shared" si="3"/>
        <v>1500</v>
      </c>
      <c r="G83" s="1"/>
      <c r="H83" s="1"/>
    </row>
    <row r="84" spans="2:8" x14ac:dyDescent="0.25">
      <c r="B84">
        <v>1399.8430183904129</v>
      </c>
      <c r="C84" s="43">
        <f t="shared" si="2"/>
        <v>2799.6860367808258</v>
      </c>
      <c r="D84" s="1">
        <f t="shared" si="3"/>
        <v>2899.4505643664452</v>
      </c>
      <c r="G84" s="1"/>
      <c r="H84" s="1"/>
    </row>
    <row r="85" spans="2:8" x14ac:dyDescent="0.25">
      <c r="B85">
        <v>1524.5541347042599</v>
      </c>
      <c r="C85" s="43">
        <f t="shared" si="2"/>
        <v>3049.1082694085198</v>
      </c>
      <c r="D85" s="1">
        <f t="shared" si="3"/>
        <v>3335.9394714649097</v>
      </c>
      <c r="G85" s="1"/>
      <c r="H85" s="1"/>
    </row>
    <row r="86" spans="2:8" x14ac:dyDescent="0.25">
      <c r="B86">
        <v>774.74953357642516</v>
      </c>
      <c r="C86" s="43">
        <f t="shared" si="2"/>
        <v>1549.4990671528503</v>
      </c>
      <c r="D86" s="1">
        <f t="shared" si="3"/>
        <v>1500</v>
      </c>
      <c r="G86" s="1"/>
      <c r="H86" s="1"/>
    </row>
    <row r="87" spans="2:8" x14ac:dyDescent="0.25">
      <c r="B87">
        <v>1357.8069963671733</v>
      </c>
      <c r="C87" s="43">
        <f t="shared" si="2"/>
        <v>2715.6139927343465</v>
      </c>
      <c r="D87" s="1">
        <f t="shared" si="3"/>
        <v>2752.3244872851064</v>
      </c>
      <c r="G87" s="1"/>
      <c r="H87" s="1"/>
    </row>
    <row r="88" spans="2:8" x14ac:dyDescent="0.25">
      <c r="B88">
        <v>977.15287054717191</v>
      </c>
      <c r="C88" s="43">
        <f t="shared" si="2"/>
        <v>1954.3057410943438</v>
      </c>
      <c r="D88" s="1">
        <f t="shared" si="3"/>
        <v>1500</v>
      </c>
      <c r="G88" s="1"/>
      <c r="H88" s="1"/>
    </row>
    <row r="89" spans="2:8" x14ac:dyDescent="0.25">
      <c r="B89">
        <v>1479.5211730245792</v>
      </c>
      <c r="C89" s="43">
        <f t="shared" si="2"/>
        <v>2959.0423460491584</v>
      </c>
      <c r="D89" s="1">
        <f t="shared" si="3"/>
        <v>3178.3241055860271</v>
      </c>
      <c r="G89" s="1"/>
      <c r="H89" s="1"/>
    </row>
    <row r="90" spans="2:8" x14ac:dyDescent="0.25">
      <c r="B90">
        <v>978.85605853781453</v>
      </c>
      <c r="C90" s="43">
        <f t="shared" si="2"/>
        <v>1957.7121170756291</v>
      </c>
      <c r="D90" s="1">
        <f t="shared" si="3"/>
        <v>1500</v>
      </c>
      <c r="G90" s="1"/>
      <c r="H90" s="1"/>
    </row>
    <row r="91" spans="2:8" x14ac:dyDescent="0.25">
      <c r="B91">
        <v>1218.3725330317538</v>
      </c>
      <c r="C91" s="43">
        <f t="shared" si="2"/>
        <v>2436.7450660635077</v>
      </c>
      <c r="D91" s="1">
        <f t="shared" si="3"/>
        <v>2264.3038656111385</v>
      </c>
      <c r="G91" s="1"/>
      <c r="H91" s="1"/>
    </row>
    <row r="92" spans="2:8" x14ac:dyDescent="0.25">
      <c r="B92">
        <v>1402.213218426652</v>
      </c>
      <c r="C92" s="43">
        <f t="shared" si="2"/>
        <v>2804.426436853304</v>
      </c>
      <c r="D92" s="1">
        <f t="shared" si="3"/>
        <v>2907.7462644932821</v>
      </c>
      <c r="G92" s="1"/>
      <c r="H92" s="1"/>
    </row>
    <row r="93" spans="2:8" x14ac:dyDescent="0.25">
      <c r="B93">
        <v>524.81886157812551</v>
      </c>
      <c r="C93" s="43">
        <f t="shared" si="2"/>
        <v>1049.637723156251</v>
      </c>
      <c r="D93" s="1">
        <f t="shared" si="3"/>
        <v>1500</v>
      </c>
      <c r="G93" s="1"/>
      <c r="H93" s="1"/>
    </row>
    <row r="94" spans="2:8" x14ac:dyDescent="0.25">
      <c r="B94">
        <v>1027.542484308753</v>
      </c>
      <c r="C94" s="43">
        <f t="shared" si="2"/>
        <v>2055.0849686175061</v>
      </c>
      <c r="D94" s="1">
        <f t="shared" si="3"/>
        <v>1596.3986950806357</v>
      </c>
      <c r="G94" s="1"/>
      <c r="H94" s="1"/>
    </row>
    <row r="95" spans="2:8" x14ac:dyDescent="0.25">
      <c r="B95">
        <v>1057.7665200628981</v>
      </c>
      <c r="C95" s="43">
        <f t="shared" si="2"/>
        <v>2115.5330401257961</v>
      </c>
      <c r="D95" s="1">
        <f t="shared" si="3"/>
        <v>1702.1828202201432</v>
      </c>
      <c r="G95" s="1"/>
      <c r="H95" s="1"/>
    </row>
    <row r="96" spans="2:8" x14ac:dyDescent="0.25">
      <c r="B96">
        <v>1616.4281221620622</v>
      </c>
      <c r="C96" s="43">
        <f t="shared" si="2"/>
        <v>3232.8562443241244</v>
      </c>
      <c r="D96" s="1">
        <f t="shared" si="3"/>
        <v>3657.4984275672177</v>
      </c>
      <c r="G96" s="1"/>
      <c r="H96" s="1"/>
    </row>
    <row r="97" spans="2:8" x14ac:dyDescent="0.25">
      <c r="B97">
        <v>698.31918224855326</v>
      </c>
      <c r="C97" s="43">
        <f t="shared" si="2"/>
        <v>1396.6383644971065</v>
      </c>
      <c r="D97" s="1">
        <f t="shared" si="3"/>
        <v>1500</v>
      </c>
      <c r="G97" s="1"/>
      <c r="H97" s="1"/>
    </row>
    <row r="98" spans="2:8" x14ac:dyDescent="0.25">
      <c r="B98">
        <v>1286.8285246270825</v>
      </c>
      <c r="C98" s="43">
        <f t="shared" si="2"/>
        <v>2573.657049254165</v>
      </c>
      <c r="D98" s="1">
        <f t="shared" si="3"/>
        <v>2503.8998361947888</v>
      </c>
      <c r="G98" s="1"/>
      <c r="H98" s="1"/>
    </row>
    <row r="99" spans="2:8" x14ac:dyDescent="0.25">
      <c r="B99">
        <v>977.40037816157565</v>
      </c>
      <c r="C99" s="43">
        <f t="shared" si="2"/>
        <v>1954.8007563231513</v>
      </c>
      <c r="D99" s="1">
        <f t="shared" si="3"/>
        <v>1500</v>
      </c>
      <c r="G99" s="1"/>
      <c r="H99" s="1"/>
    </row>
    <row r="100" spans="2:8" x14ac:dyDescent="0.25">
      <c r="B100">
        <v>1027.6309997437347</v>
      </c>
      <c r="C100" s="43">
        <f t="shared" si="2"/>
        <v>2055.2619994874694</v>
      </c>
      <c r="D100" s="1">
        <f t="shared" si="3"/>
        <v>1596.7084991030715</v>
      </c>
      <c r="G100" s="1"/>
      <c r="H100" s="1"/>
    </row>
    <row r="101" spans="2:8" x14ac:dyDescent="0.25">
      <c r="B101">
        <v>1240.3365265357133</v>
      </c>
      <c r="C101" s="43">
        <f t="shared" si="2"/>
        <v>2480.6730530714267</v>
      </c>
      <c r="D101" s="1">
        <f t="shared" si="3"/>
        <v>2341.1778428749967</v>
      </c>
      <c r="G101" s="1"/>
      <c r="H101" s="1"/>
    </row>
    <row r="102" spans="2:8" x14ac:dyDescent="0.25">
      <c r="B102">
        <v>1110.5984886228835</v>
      </c>
      <c r="C102" s="43">
        <f t="shared" si="2"/>
        <v>2221.1969772457669</v>
      </c>
      <c r="D102" s="1">
        <f t="shared" si="3"/>
        <v>1887.0947101800921</v>
      </c>
      <c r="G102" s="1"/>
      <c r="H102" s="1"/>
    </row>
    <row r="103" spans="2:8" x14ac:dyDescent="0.25">
      <c r="B103">
        <v>1357.9085164395219</v>
      </c>
      <c r="C103" s="43">
        <f t="shared" si="2"/>
        <v>2715.8170328790438</v>
      </c>
      <c r="D103" s="1">
        <f t="shared" si="3"/>
        <v>2752.6798075383267</v>
      </c>
      <c r="G103" s="1"/>
      <c r="H103" s="1"/>
    </row>
    <row r="104" spans="2:8" x14ac:dyDescent="0.25">
      <c r="B104">
        <v>1196.8079077462899</v>
      </c>
      <c r="C104" s="43">
        <f t="shared" si="2"/>
        <v>2393.6158154925797</v>
      </c>
      <c r="D104" s="1">
        <f t="shared" si="3"/>
        <v>2188.8276771120145</v>
      </c>
      <c r="G104" s="1"/>
      <c r="H104" s="1"/>
    </row>
    <row r="105" spans="2:8" x14ac:dyDescent="0.25">
      <c r="B105">
        <v>1050.4130268885201</v>
      </c>
      <c r="C105" s="43">
        <f t="shared" si="2"/>
        <v>2100.8260537770402</v>
      </c>
      <c r="D105" s="1">
        <f t="shared" si="3"/>
        <v>1676.4455941098204</v>
      </c>
      <c r="G105" s="1"/>
      <c r="H105" s="1"/>
    </row>
    <row r="106" spans="2:8" x14ac:dyDescent="0.25">
      <c r="B106">
        <v>1465.6901119281538</v>
      </c>
      <c r="C106" s="43">
        <f t="shared" si="2"/>
        <v>2931.3802238563076</v>
      </c>
      <c r="D106" s="1">
        <f t="shared" si="3"/>
        <v>3129.9153917485382</v>
      </c>
      <c r="G106" s="1"/>
      <c r="H106" s="1"/>
    </row>
    <row r="107" spans="2:8" x14ac:dyDescent="0.25">
      <c r="B107">
        <v>882.17203327195602</v>
      </c>
      <c r="C107" s="43">
        <f t="shared" si="2"/>
        <v>1764.344066543912</v>
      </c>
      <c r="D107" s="1">
        <f t="shared" si="3"/>
        <v>1500</v>
      </c>
      <c r="G107" s="1"/>
      <c r="H107" s="1"/>
    </row>
    <row r="108" spans="2:8" x14ac:dyDescent="0.25">
      <c r="B108">
        <v>732.6279326492222</v>
      </c>
      <c r="C108" s="43">
        <f t="shared" si="2"/>
        <v>1465.2558652984444</v>
      </c>
      <c r="D108" s="1">
        <f t="shared" si="3"/>
        <v>1500</v>
      </c>
      <c r="G108" s="1"/>
      <c r="H108" s="1"/>
    </row>
    <row r="109" spans="2:8" x14ac:dyDescent="0.25">
      <c r="B109">
        <v>2082.7576379645616</v>
      </c>
      <c r="C109" s="43">
        <f t="shared" si="2"/>
        <v>4165.5152759291232</v>
      </c>
      <c r="D109" s="1">
        <f t="shared" si="3"/>
        <v>5289.6517328759655</v>
      </c>
      <c r="G109" s="1"/>
      <c r="H109" s="1"/>
    </row>
    <row r="110" spans="2:8" x14ac:dyDescent="0.25">
      <c r="B110">
        <v>516.73752821562812</v>
      </c>
      <c r="C110" s="43">
        <f t="shared" si="2"/>
        <v>1033.4750564312562</v>
      </c>
      <c r="D110" s="1">
        <f t="shared" si="3"/>
        <v>1500</v>
      </c>
      <c r="G110" s="1"/>
      <c r="H110" s="1"/>
    </row>
    <row r="111" spans="2:8" x14ac:dyDescent="0.25">
      <c r="B111">
        <v>1495.9741368159594</v>
      </c>
      <c r="C111" s="43">
        <f t="shared" si="2"/>
        <v>2991.9482736319187</v>
      </c>
      <c r="D111" s="1">
        <f t="shared" si="3"/>
        <v>3235.9094788558577</v>
      </c>
      <c r="G111" s="1"/>
      <c r="H111" s="1"/>
    </row>
    <row r="112" spans="2:8" x14ac:dyDescent="0.25">
      <c r="B112">
        <v>1304.759822033986</v>
      </c>
      <c r="C112" s="43">
        <f t="shared" si="2"/>
        <v>2609.519644067972</v>
      </c>
      <c r="D112" s="1">
        <f t="shared" si="3"/>
        <v>2566.6593771189509</v>
      </c>
      <c r="G112" s="1"/>
      <c r="H112" s="1"/>
    </row>
    <row r="113" spans="2:8" x14ac:dyDescent="0.25">
      <c r="B113">
        <v>1690.0712860490894</v>
      </c>
      <c r="C113" s="43">
        <f t="shared" si="2"/>
        <v>3380.1425720981788</v>
      </c>
      <c r="D113" s="1">
        <f t="shared" si="3"/>
        <v>3915.2495011718129</v>
      </c>
      <c r="G113" s="1"/>
      <c r="H113" s="1"/>
    </row>
    <row r="114" spans="2:8" x14ac:dyDescent="0.25">
      <c r="B114">
        <v>726.81444024175289</v>
      </c>
      <c r="C114" s="43">
        <f t="shared" si="2"/>
        <v>1453.6288804835058</v>
      </c>
      <c r="D114" s="1">
        <f t="shared" si="3"/>
        <v>1500</v>
      </c>
      <c r="G114" s="1"/>
      <c r="H114" s="1"/>
    </row>
    <row r="115" spans="2:8" x14ac:dyDescent="0.25">
      <c r="B115">
        <v>794.78254818360438</v>
      </c>
      <c r="C115" s="43">
        <f t="shared" si="2"/>
        <v>1589.5650963672088</v>
      </c>
      <c r="D115" s="1">
        <f t="shared" si="3"/>
        <v>1500</v>
      </c>
      <c r="G115" s="1"/>
      <c r="H115" s="1"/>
    </row>
    <row r="116" spans="2:8" x14ac:dyDescent="0.25">
      <c r="B116">
        <v>1659.1605215410818</v>
      </c>
      <c r="C116" s="43">
        <f t="shared" si="2"/>
        <v>3318.3210430821637</v>
      </c>
      <c r="D116" s="1">
        <f t="shared" si="3"/>
        <v>3807.0618253937864</v>
      </c>
      <c r="G116" s="1"/>
      <c r="H116" s="1"/>
    </row>
    <row r="117" spans="2:8" x14ac:dyDescent="0.25">
      <c r="B117">
        <v>732.11278120771749</v>
      </c>
      <c r="C117" s="43">
        <f t="shared" si="2"/>
        <v>1464.225562415435</v>
      </c>
      <c r="D117" s="1">
        <f t="shared" si="3"/>
        <v>1500</v>
      </c>
      <c r="G117" s="1"/>
      <c r="H117" s="1"/>
    </row>
    <row r="118" spans="2:8" x14ac:dyDescent="0.25">
      <c r="B118">
        <v>1061.5462549879448</v>
      </c>
      <c r="C118" s="43">
        <f t="shared" si="2"/>
        <v>2123.0925099758897</v>
      </c>
      <c r="D118" s="1">
        <f t="shared" si="3"/>
        <v>1715.411892457807</v>
      </c>
      <c r="G118" s="1"/>
      <c r="H118" s="1"/>
    </row>
    <row r="119" spans="2:8" x14ac:dyDescent="0.25">
      <c r="B119">
        <v>1109.8060447523603</v>
      </c>
      <c r="C119" s="43">
        <f t="shared" si="2"/>
        <v>2219.6120895047206</v>
      </c>
      <c r="D119" s="1">
        <f t="shared" si="3"/>
        <v>1884.3211566332611</v>
      </c>
      <c r="G119" s="1"/>
      <c r="H119" s="1"/>
    </row>
    <row r="120" spans="2:8" x14ac:dyDescent="0.25">
      <c r="B120">
        <v>600.22058804071276</v>
      </c>
      <c r="C120" s="43">
        <f t="shared" si="2"/>
        <v>1200.4411760814255</v>
      </c>
      <c r="D120" s="1">
        <f t="shared" si="3"/>
        <v>1500</v>
      </c>
      <c r="G120" s="1"/>
      <c r="H120" s="1"/>
    </row>
    <row r="121" spans="2:8" x14ac:dyDescent="0.25">
      <c r="B121">
        <v>712.25428044391447</v>
      </c>
      <c r="C121" s="43">
        <f t="shared" si="2"/>
        <v>1424.5085608878289</v>
      </c>
      <c r="D121" s="1">
        <f t="shared" si="3"/>
        <v>1500</v>
      </c>
      <c r="G121" s="1"/>
      <c r="H121" s="1"/>
    </row>
    <row r="122" spans="2:8" x14ac:dyDescent="0.25">
      <c r="B122">
        <v>1138.5383227491839</v>
      </c>
      <c r="C122" s="43">
        <f t="shared" si="2"/>
        <v>2277.0766454983677</v>
      </c>
      <c r="D122" s="1">
        <f t="shared" si="3"/>
        <v>1984.8841296221435</v>
      </c>
      <c r="G122" s="1"/>
      <c r="H122" s="1"/>
    </row>
    <row r="123" spans="2:8" x14ac:dyDescent="0.25">
      <c r="B123">
        <v>1731.6626333752647</v>
      </c>
      <c r="C123" s="43">
        <f t="shared" si="2"/>
        <v>3463.3252667505294</v>
      </c>
      <c r="D123" s="1">
        <f t="shared" si="3"/>
        <v>4060.8192168134265</v>
      </c>
      <c r="G123" s="1"/>
      <c r="H123" s="1"/>
    </row>
    <row r="124" spans="2:8" x14ac:dyDescent="0.25">
      <c r="B124">
        <v>1546.5051235708524</v>
      </c>
      <c r="C124" s="43">
        <f t="shared" si="2"/>
        <v>3093.0102471417049</v>
      </c>
      <c r="D124" s="1">
        <f t="shared" si="3"/>
        <v>3412.7679324979836</v>
      </c>
      <c r="G124" s="1"/>
      <c r="H124" s="1"/>
    </row>
    <row r="125" spans="2:8" x14ac:dyDescent="0.25">
      <c r="B125">
        <v>1617.3493538929615</v>
      </c>
      <c r="C125" s="43">
        <f t="shared" si="2"/>
        <v>3234.698707785923</v>
      </c>
      <c r="D125" s="1">
        <f t="shared" si="3"/>
        <v>3660.7227386253653</v>
      </c>
      <c r="G125" s="1"/>
      <c r="H125" s="1"/>
    </row>
    <row r="126" spans="2:8" x14ac:dyDescent="0.25">
      <c r="B126">
        <v>853.32439155655447</v>
      </c>
      <c r="C126" s="43">
        <f t="shared" si="2"/>
        <v>1706.6487831131089</v>
      </c>
      <c r="D126" s="1">
        <f t="shared" si="3"/>
        <v>1500</v>
      </c>
      <c r="G126" s="1"/>
      <c r="H126" s="1"/>
    </row>
    <row r="127" spans="2:8" x14ac:dyDescent="0.25">
      <c r="B127">
        <v>399.73942037369125</v>
      </c>
      <c r="C127" s="43">
        <f t="shared" si="2"/>
        <v>799.47884074738249</v>
      </c>
      <c r="D127" s="1">
        <f t="shared" si="3"/>
        <v>1500</v>
      </c>
      <c r="G127" s="1"/>
      <c r="H127" s="1"/>
    </row>
    <row r="128" spans="2:8" x14ac:dyDescent="0.25">
      <c r="B128">
        <v>1365.8619009505055</v>
      </c>
      <c r="C128" s="43">
        <f t="shared" si="2"/>
        <v>2731.723801901011</v>
      </c>
      <c r="D128" s="1">
        <f t="shared" si="3"/>
        <v>2780.5166533267693</v>
      </c>
      <c r="G128" s="1"/>
      <c r="H128" s="1"/>
    </row>
    <row r="129" spans="2:8" x14ac:dyDescent="0.25">
      <c r="B129">
        <v>1252.7567942300375</v>
      </c>
      <c r="C129" s="43">
        <f t="shared" si="2"/>
        <v>2505.513588460075</v>
      </c>
      <c r="D129" s="1">
        <f t="shared" si="3"/>
        <v>2384.6487798051312</v>
      </c>
      <c r="G129" s="1"/>
      <c r="H129" s="1"/>
    </row>
    <row r="130" spans="2:8" x14ac:dyDescent="0.25">
      <c r="B130">
        <v>942.03405708986975</v>
      </c>
      <c r="C130" s="43">
        <f t="shared" si="2"/>
        <v>1884.0681141797395</v>
      </c>
      <c r="D130" s="1">
        <f t="shared" si="3"/>
        <v>1500</v>
      </c>
      <c r="G130" s="1"/>
      <c r="H130" s="1"/>
    </row>
    <row r="131" spans="2:8" x14ac:dyDescent="0.25">
      <c r="B131">
        <v>1148.3635360321496</v>
      </c>
      <c r="C131" s="43">
        <f t="shared" si="2"/>
        <v>2296.7270720642991</v>
      </c>
      <c r="D131" s="1">
        <f t="shared" si="3"/>
        <v>2019.2723761125235</v>
      </c>
      <c r="G131" s="1"/>
      <c r="H131" s="1"/>
    </row>
    <row r="132" spans="2:8" x14ac:dyDescent="0.25">
      <c r="B132">
        <v>1451.0477292618016</v>
      </c>
      <c r="C132" s="43">
        <f t="shared" si="2"/>
        <v>2902.0954585236032</v>
      </c>
      <c r="D132" s="1">
        <f t="shared" si="3"/>
        <v>3078.6670524163055</v>
      </c>
      <c r="G132" s="1"/>
      <c r="H132" s="1"/>
    </row>
    <row r="133" spans="2:8" x14ac:dyDescent="0.25">
      <c r="B133">
        <v>1311.6757720866299</v>
      </c>
      <c r="C133" s="43">
        <f t="shared" si="2"/>
        <v>2623.3515441732598</v>
      </c>
      <c r="D133" s="1">
        <f t="shared" si="3"/>
        <v>2590.8652023032046</v>
      </c>
      <c r="G133" s="1"/>
      <c r="H133" s="1"/>
    </row>
    <row r="134" spans="2:8" x14ac:dyDescent="0.25">
      <c r="B134">
        <v>1288.3932761554315</v>
      </c>
      <c r="C134" s="43">
        <f t="shared" si="2"/>
        <v>2576.786552310863</v>
      </c>
      <c r="D134" s="1">
        <f t="shared" si="3"/>
        <v>2509.3764665440103</v>
      </c>
      <c r="G134" s="1"/>
      <c r="H134" s="1"/>
    </row>
    <row r="135" spans="2:8" x14ac:dyDescent="0.25">
      <c r="B135">
        <v>1423.9871764232812</v>
      </c>
      <c r="C135" s="43">
        <f t="shared" si="2"/>
        <v>2847.9743528465624</v>
      </c>
      <c r="D135" s="1">
        <f t="shared" si="3"/>
        <v>2983.9551174814842</v>
      </c>
      <c r="G135" s="1"/>
      <c r="H135" s="1"/>
    </row>
    <row r="136" spans="2:8" x14ac:dyDescent="0.25">
      <c r="B136">
        <v>539.84047625027597</v>
      </c>
      <c r="C136" s="43">
        <f t="shared" si="2"/>
        <v>1079.6809525005519</v>
      </c>
      <c r="D136" s="1">
        <f t="shared" si="3"/>
        <v>1500</v>
      </c>
      <c r="G136" s="1"/>
      <c r="H136" s="1"/>
    </row>
    <row r="137" spans="2:8" x14ac:dyDescent="0.25">
      <c r="B137">
        <v>1065.1456030075788</v>
      </c>
      <c r="C137" s="43">
        <f t="shared" si="2"/>
        <v>2130.2912060151575</v>
      </c>
      <c r="D137" s="1">
        <f t="shared" si="3"/>
        <v>1728.0096105265256</v>
      </c>
      <c r="G137" s="1"/>
      <c r="H137" s="1"/>
    </row>
    <row r="138" spans="2:8" x14ac:dyDescent="0.25">
      <c r="B138">
        <v>1805.13631747209</v>
      </c>
      <c r="C138" s="43">
        <f t="shared" si="2"/>
        <v>3610.27263494418</v>
      </c>
      <c r="D138" s="1">
        <f t="shared" si="3"/>
        <v>4317.977111152315</v>
      </c>
      <c r="G138" s="1"/>
      <c r="H138" s="1"/>
    </row>
    <row r="139" spans="2:8" x14ac:dyDescent="0.25">
      <c r="B139">
        <v>915.92284277913859</v>
      </c>
      <c r="C139" s="43">
        <f t="shared" si="2"/>
        <v>1831.8456855582772</v>
      </c>
      <c r="D139" s="1">
        <f t="shared" si="3"/>
        <v>1500</v>
      </c>
      <c r="G139" s="1"/>
      <c r="H139" s="1"/>
    </row>
    <row r="140" spans="2:8" x14ac:dyDescent="0.25">
      <c r="B140">
        <v>1006.2891313112341</v>
      </c>
      <c r="C140" s="43">
        <f t="shared" si="2"/>
        <v>2012.5782626224682</v>
      </c>
      <c r="D140" s="1">
        <f t="shared" si="3"/>
        <v>1522.0119595893193</v>
      </c>
      <c r="G140" s="1"/>
      <c r="H140" s="1"/>
    </row>
    <row r="141" spans="2:8" x14ac:dyDescent="0.25">
      <c r="B141">
        <v>621.36361137282802</v>
      </c>
      <c r="C141" s="43">
        <f t="shared" si="2"/>
        <v>1242.727222745656</v>
      </c>
      <c r="D141" s="1">
        <f t="shared" si="3"/>
        <v>1500</v>
      </c>
      <c r="G141" s="1"/>
      <c r="H141" s="1"/>
    </row>
    <row r="142" spans="2:8" x14ac:dyDescent="0.25">
      <c r="B142">
        <v>1037.5912934535445</v>
      </c>
      <c r="C142" s="43">
        <f t="shared" si="2"/>
        <v>2075.182586907089</v>
      </c>
      <c r="D142" s="1">
        <f t="shared" si="3"/>
        <v>1631.5695270874057</v>
      </c>
      <c r="G142" s="1"/>
      <c r="H142" s="1"/>
    </row>
    <row r="143" spans="2:8" x14ac:dyDescent="0.25">
      <c r="B143">
        <v>944.52884994217311</v>
      </c>
      <c r="C143" s="43">
        <f t="shared" si="2"/>
        <v>1889.0576998843462</v>
      </c>
      <c r="D143" s="1">
        <f t="shared" si="3"/>
        <v>1500</v>
      </c>
      <c r="G143" s="1"/>
      <c r="H143" s="1"/>
    </row>
    <row r="144" spans="2:8" x14ac:dyDescent="0.25">
      <c r="B144">
        <v>1405.2923809516069</v>
      </c>
      <c r="C144" s="43">
        <f t="shared" si="2"/>
        <v>2810.5847619032138</v>
      </c>
      <c r="D144" s="1">
        <f t="shared" si="3"/>
        <v>2918.5233333306242</v>
      </c>
      <c r="G144" s="1"/>
      <c r="H144" s="1"/>
    </row>
    <row r="145" spans="2:8" x14ac:dyDescent="0.25">
      <c r="B145">
        <v>743.36556807003217</v>
      </c>
      <c r="C145" s="43">
        <f t="shared" si="2"/>
        <v>1486.7311361400643</v>
      </c>
      <c r="D145" s="1">
        <f t="shared" si="3"/>
        <v>1500</v>
      </c>
      <c r="G145" s="1"/>
      <c r="H145" s="1"/>
    </row>
    <row r="146" spans="2:8" x14ac:dyDescent="0.25">
      <c r="B146">
        <v>818.22277778093121</v>
      </c>
      <c r="C146" s="43">
        <f t="shared" ref="C146:C209" si="4">B146*2</f>
        <v>1636.4455555618624</v>
      </c>
      <c r="D146" s="1">
        <f t="shared" ref="D146:D209" si="5">IF(B146&lt;=1000,1500,1500+(B146-1000)*3.5)</f>
        <v>1500</v>
      </c>
      <c r="G146" s="1"/>
      <c r="H146" s="1"/>
    </row>
    <row r="147" spans="2:8" x14ac:dyDescent="0.25">
      <c r="B147">
        <v>1137.6632365057158</v>
      </c>
      <c r="C147" s="43">
        <f t="shared" si="4"/>
        <v>2275.3264730114315</v>
      </c>
      <c r="D147" s="1">
        <f t="shared" si="5"/>
        <v>1981.8213277700052</v>
      </c>
      <c r="G147" s="1"/>
      <c r="H147" s="1"/>
    </row>
    <row r="148" spans="2:8" x14ac:dyDescent="0.25">
      <c r="B148">
        <v>1328.3082837745606</v>
      </c>
      <c r="C148" s="43">
        <f t="shared" si="4"/>
        <v>2656.6165675491211</v>
      </c>
      <c r="D148" s="1">
        <f t="shared" si="5"/>
        <v>2649.0789932109619</v>
      </c>
      <c r="G148" s="1"/>
      <c r="H148" s="1"/>
    </row>
    <row r="149" spans="2:8" x14ac:dyDescent="0.25">
      <c r="B149">
        <v>1404.8510622899921</v>
      </c>
      <c r="C149" s="43">
        <f t="shared" si="4"/>
        <v>2809.7021245799842</v>
      </c>
      <c r="D149" s="1">
        <f t="shared" si="5"/>
        <v>2916.9787180149724</v>
      </c>
      <c r="G149" s="1"/>
      <c r="H149" s="1"/>
    </row>
    <row r="150" spans="2:8" x14ac:dyDescent="0.25">
      <c r="B150">
        <v>503.34862478967989</v>
      </c>
      <c r="C150" s="43">
        <f t="shared" si="4"/>
        <v>1006.6972495793598</v>
      </c>
      <c r="D150" s="1">
        <f t="shared" si="5"/>
        <v>1500</v>
      </c>
      <c r="G150" s="1"/>
      <c r="H150" s="1"/>
    </row>
    <row r="151" spans="2:8" x14ac:dyDescent="0.25">
      <c r="B151">
        <v>1583.7386588657973</v>
      </c>
      <c r="C151" s="43">
        <f t="shared" si="4"/>
        <v>3167.4773177315947</v>
      </c>
      <c r="D151" s="1">
        <f t="shared" si="5"/>
        <v>3543.0853060302907</v>
      </c>
      <c r="G151" s="1"/>
      <c r="H151" s="1"/>
    </row>
    <row r="152" spans="2:8" x14ac:dyDescent="0.25">
      <c r="B152">
        <v>1113.3147798148566</v>
      </c>
      <c r="C152" s="43">
        <f t="shared" si="4"/>
        <v>2226.6295596297132</v>
      </c>
      <c r="D152" s="1">
        <f t="shared" si="5"/>
        <v>1896.6017293519981</v>
      </c>
      <c r="G152" s="1"/>
      <c r="H152" s="1"/>
    </row>
    <row r="153" spans="2:8" x14ac:dyDescent="0.25">
      <c r="B153">
        <v>1064.0523744598904</v>
      </c>
      <c r="C153" s="43">
        <f t="shared" si="4"/>
        <v>2128.1047489197808</v>
      </c>
      <c r="D153" s="1">
        <f t="shared" si="5"/>
        <v>1724.1833106096165</v>
      </c>
      <c r="G153" s="1"/>
      <c r="H153" s="1"/>
    </row>
    <row r="154" spans="2:8" x14ac:dyDescent="0.25">
      <c r="B154">
        <v>1383.4026397319685</v>
      </c>
      <c r="C154" s="43">
        <f t="shared" si="4"/>
        <v>2766.805279463937</v>
      </c>
      <c r="D154" s="1">
        <f t="shared" si="5"/>
        <v>2841.9092390618898</v>
      </c>
      <c r="G154" s="1"/>
      <c r="H154" s="1"/>
    </row>
    <row r="155" spans="2:8" x14ac:dyDescent="0.25">
      <c r="B155">
        <v>1563.9430837666732</v>
      </c>
      <c r="C155" s="43">
        <f t="shared" si="4"/>
        <v>3127.8861675333465</v>
      </c>
      <c r="D155" s="1">
        <f t="shared" si="5"/>
        <v>3473.8007931833563</v>
      </c>
      <c r="G155" s="1"/>
      <c r="H155" s="1"/>
    </row>
    <row r="156" spans="2:8" x14ac:dyDescent="0.25">
      <c r="B156">
        <v>1499.3427573984372</v>
      </c>
      <c r="C156" s="43">
        <f t="shared" si="4"/>
        <v>2998.6855147968745</v>
      </c>
      <c r="D156" s="1">
        <f t="shared" si="5"/>
        <v>3247.6996508945304</v>
      </c>
      <c r="G156" s="1"/>
      <c r="H156" s="1"/>
    </row>
    <row r="157" spans="2:8" x14ac:dyDescent="0.25">
      <c r="B157">
        <v>1057.2748608695401</v>
      </c>
      <c r="C157" s="43">
        <f t="shared" si="4"/>
        <v>2114.5497217390803</v>
      </c>
      <c r="D157" s="1">
        <f t="shared" si="5"/>
        <v>1700.4620130433905</v>
      </c>
      <c r="G157" s="1"/>
      <c r="H157" s="1"/>
    </row>
    <row r="158" spans="2:8" x14ac:dyDescent="0.25">
      <c r="B158">
        <v>955.25054419459775</v>
      </c>
      <c r="C158" s="43">
        <f t="shared" si="4"/>
        <v>1910.5010883891955</v>
      </c>
      <c r="D158" s="1">
        <f t="shared" si="5"/>
        <v>1500</v>
      </c>
      <c r="G158" s="1"/>
      <c r="H158" s="1"/>
    </row>
    <row r="159" spans="2:8" x14ac:dyDescent="0.25">
      <c r="B159">
        <v>840.8714025165973</v>
      </c>
      <c r="C159" s="43">
        <f t="shared" si="4"/>
        <v>1681.7428050331946</v>
      </c>
      <c r="D159" s="1">
        <f t="shared" si="5"/>
        <v>1500</v>
      </c>
      <c r="G159" s="1"/>
      <c r="H159" s="1"/>
    </row>
    <row r="160" spans="2:8" x14ac:dyDescent="0.25">
      <c r="B160">
        <v>1456.8444414920232</v>
      </c>
      <c r="C160" s="43">
        <f t="shared" si="4"/>
        <v>2913.6888829840464</v>
      </c>
      <c r="D160" s="1">
        <f t="shared" si="5"/>
        <v>3098.9555452220811</v>
      </c>
      <c r="G160" s="1"/>
      <c r="H160" s="1"/>
    </row>
    <row r="161" spans="2:8" x14ac:dyDescent="0.25">
      <c r="B161">
        <v>1076.2196809822053</v>
      </c>
      <c r="C161" s="43">
        <f t="shared" si="4"/>
        <v>2152.4393619644106</v>
      </c>
      <c r="D161" s="1">
        <f t="shared" si="5"/>
        <v>1766.7688834377186</v>
      </c>
      <c r="G161" s="1"/>
      <c r="H161" s="1"/>
    </row>
    <row r="162" spans="2:8" x14ac:dyDescent="0.25">
      <c r="B162">
        <v>1609.1690174847026</v>
      </c>
      <c r="C162" s="43">
        <f t="shared" si="4"/>
        <v>3218.3380349694053</v>
      </c>
      <c r="D162" s="1">
        <f t="shared" si="5"/>
        <v>3632.0915611964592</v>
      </c>
      <c r="G162" s="1"/>
      <c r="H162" s="1"/>
    </row>
    <row r="163" spans="2:8" x14ac:dyDescent="0.25">
      <c r="B163">
        <v>800.47018926171586</v>
      </c>
      <c r="C163" s="43">
        <f t="shared" si="4"/>
        <v>1600.9403785234317</v>
      </c>
      <c r="D163" s="1">
        <f t="shared" si="5"/>
        <v>1500</v>
      </c>
      <c r="G163" s="1"/>
      <c r="H163" s="1"/>
    </row>
    <row r="164" spans="2:8" x14ac:dyDescent="0.25">
      <c r="B164">
        <v>1276.58590443508</v>
      </c>
      <c r="C164" s="43">
        <f t="shared" si="4"/>
        <v>2553.17180887016</v>
      </c>
      <c r="D164" s="1">
        <f t="shared" si="5"/>
        <v>2468.05066552278</v>
      </c>
      <c r="G164" s="1"/>
      <c r="H164" s="1"/>
    </row>
    <row r="165" spans="2:8" x14ac:dyDescent="0.25">
      <c r="B165">
        <v>1446.6496448051766</v>
      </c>
      <c r="C165" s="43">
        <f t="shared" si="4"/>
        <v>2893.2992896103533</v>
      </c>
      <c r="D165" s="1">
        <f t="shared" si="5"/>
        <v>3063.2737568181183</v>
      </c>
      <c r="G165" s="1"/>
      <c r="H165" s="1"/>
    </row>
    <row r="166" spans="2:8" x14ac:dyDescent="0.25">
      <c r="B166">
        <v>1378.38075218616</v>
      </c>
      <c r="C166" s="43">
        <f t="shared" si="4"/>
        <v>2756.7615043723199</v>
      </c>
      <c r="D166" s="1">
        <f t="shared" si="5"/>
        <v>2824.3326326515598</v>
      </c>
      <c r="G166" s="1"/>
      <c r="H166" s="1"/>
    </row>
    <row r="167" spans="2:8" x14ac:dyDescent="0.25">
      <c r="B167">
        <v>524.81886157812551</v>
      </c>
      <c r="C167" s="43">
        <f t="shared" si="4"/>
        <v>1049.637723156251</v>
      </c>
      <c r="D167" s="1">
        <f t="shared" si="5"/>
        <v>1500</v>
      </c>
      <c r="G167" s="1"/>
      <c r="H167" s="1"/>
    </row>
    <row r="168" spans="2:8" x14ac:dyDescent="0.25">
      <c r="B168">
        <v>837.23471860258724</v>
      </c>
      <c r="C168" s="43">
        <f t="shared" si="4"/>
        <v>1674.4694372051745</v>
      </c>
      <c r="D168" s="1">
        <f t="shared" si="5"/>
        <v>1500</v>
      </c>
      <c r="G168" s="1"/>
      <c r="H168" s="1"/>
    </row>
    <row r="169" spans="2:8" x14ac:dyDescent="0.25">
      <c r="B169">
        <v>1174.7075753021927</v>
      </c>
      <c r="C169" s="43">
        <f t="shared" si="4"/>
        <v>2349.4151506043854</v>
      </c>
      <c r="D169" s="1">
        <f t="shared" si="5"/>
        <v>2111.4765135576745</v>
      </c>
      <c r="G169" s="1"/>
      <c r="H169" s="1"/>
    </row>
    <row r="170" spans="2:8" x14ac:dyDescent="0.25">
      <c r="B170">
        <v>1135.8568504249997</v>
      </c>
      <c r="C170" s="43">
        <f t="shared" si="4"/>
        <v>2271.7137008499994</v>
      </c>
      <c r="D170" s="1">
        <f t="shared" si="5"/>
        <v>1975.498976487499</v>
      </c>
      <c r="G170" s="1"/>
      <c r="H170" s="1"/>
    </row>
    <row r="171" spans="2:8" x14ac:dyDescent="0.25">
      <c r="B171">
        <v>638.62873574299738</v>
      </c>
      <c r="C171" s="43">
        <f t="shared" si="4"/>
        <v>1277.2574714859948</v>
      </c>
      <c r="D171" s="1">
        <f t="shared" si="5"/>
        <v>1500</v>
      </c>
      <c r="G171" s="1"/>
      <c r="H171" s="1"/>
    </row>
    <row r="172" spans="2:8" x14ac:dyDescent="0.25">
      <c r="B172">
        <v>1080.3362779654999</v>
      </c>
      <c r="C172" s="43">
        <f t="shared" si="4"/>
        <v>2160.6725559309998</v>
      </c>
      <c r="D172" s="1">
        <f t="shared" si="5"/>
        <v>1781.1769728792497</v>
      </c>
      <c r="G172" s="1"/>
      <c r="H172" s="1"/>
    </row>
    <row r="173" spans="2:8" x14ac:dyDescent="0.25">
      <c r="B173">
        <v>2091.2953921481967</v>
      </c>
      <c r="C173" s="43">
        <f t="shared" si="4"/>
        <v>4182.5907842963934</v>
      </c>
      <c r="D173" s="1">
        <f t="shared" si="5"/>
        <v>5319.5338725186884</v>
      </c>
      <c r="G173" s="1"/>
      <c r="H173" s="1"/>
    </row>
    <row r="174" spans="2:8" x14ac:dyDescent="0.25">
      <c r="B174">
        <v>672.84855120425345</v>
      </c>
      <c r="C174" s="43">
        <f t="shared" si="4"/>
        <v>1345.6971024085069</v>
      </c>
      <c r="D174" s="1">
        <f t="shared" si="5"/>
        <v>1500</v>
      </c>
      <c r="G174" s="1"/>
      <c r="H174" s="1"/>
    </row>
    <row r="175" spans="2:8" x14ac:dyDescent="0.25">
      <c r="B175">
        <v>740.41141786557273</v>
      </c>
      <c r="C175" s="43">
        <f t="shared" si="4"/>
        <v>1480.8228357311455</v>
      </c>
      <c r="D175" s="1">
        <f t="shared" si="5"/>
        <v>1500</v>
      </c>
      <c r="G175" s="1"/>
      <c r="H175" s="1"/>
    </row>
    <row r="176" spans="2:8" x14ac:dyDescent="0.25">
      <c r="B176">
        <v>991.69666967219382</v>
      </c>
      <c r="C176" s="43">
        <f t="shared" si="4"/>
        <v>1983.3933393443876</v>
      </c>
      <c r="D176" s="1">
        <f t="shared" si="5"/>
        <v>1500</v>
      </c>
      <c r="G176" s="1"/>
      <c r="H176" s="1"/>
    </row>
    <row r="177" spans="2:8" x14ac:dyDescent="0.25">
      <c r="B177">
        <v>533.26264676917344</v>
      </c>
      <c r="C177" s="43">
        <f t="shared" si="4"/>
        <v>1066.5252935383469</v>
      </c>
      <c r="D177" s="1">
        <f t="shared" si="5"/>
        <v>1500</v>
      </c>
      <c r="G177" s="1"/>
      <c r="H177" s="1"/>
    </row>
    <row r="178" spans="2:8" x14ac:dyDescent="0.25">
      <c r="B178">
        <v>1292.1478408146068</v>
      </c>
      <c r="C178" s="43">
        <f t="shared" si="4"/>
        <v>2584.2956816292135</v>
      </c>
      <c r="D178" s="1">
        <f t="shared" si="5"/>
        <v>2522.5174428511236</v>
      </c>
      <c r="G178" s="1"/>
      <c r="H178" s="1"/>
    </row>
    <row r="179" spans="2:8" x14ac:dyDescent="0.25">
      <c r="B179">
        <v>649.98639871311025</v>
      </c>
      <c r="C179" s="43">
        <f t="shared" si="4"/>
        <v>1299.9727974262205</v>
      </c>
      <c r="D179" s="1">
        <f t="shared" si="5"/>
        <v>1500</v>
      </c>
      <c r="G179" s="1"/>
      <c r="H179" s="1"/>
    </row>
    <row r="180" spans="2:8" x14ac:dyDescent="0.25">
      <c r="B180">
        <v>806.50098496454302</v>
      </c>
      <c r="C180" s="43">
        <f t="shared" si="4"/>
        <v>1613.001969929086</v>
      </c>
      <c r="D180" s="1">
        <f t="shared" si="5"/>
        <v>1500</v>
      </c>
      <c r="G180" s="1"/>
      <c r="H180" s="1"/>
    </row>
    <row r="181" spans="2:8" x14ac:dyDescent="0.25">
      <c r="B181">
        <v>1341.7068358024262</v>
      </c>
      <c r="C181" s="43">
        <f t="shared" si="4"/>
        <v>2683.4136716048524</v>
      </c>
      <c r="D181" s="1">
        <f t="shared" si="5"/>
        <v>2695.9739253084917</v>
      </c>
      <c r="G181" s="1"/>
      <c r="H181" s="1"/>
    </row>
    <row r="182" spans="2:8" x14ac:dyDescent="0.25">
      <c r="B182">
        <v>1025.3283399209176</v>
      </c>
      <c r="C182" s="43">
        <f t="shared" si="4"/>
        <v>2050.6566798418353</v>
      </c>
      <c r="D182" s="1">
        <f t="shared" si="5"/>
        <v>1588.6491897232117</v>
      </c>
      <c r="G182" s="1"/>
      <c r="H182" s="1"/>
    </row>
    <row r="183" spans="2:8" x14ac:dyDescent="0.25">
      <c r="B183">
        <v>808.14208629936911</v>
      </c>
      <c r="C183" s="43">
        <f t="shared" si="4"/>
        <v>1616.2841725987382</v>
      </c>
      <c r="D183" s="1">
        <f t="shared" si="5"/>
        <v>1500</v>
      </c>
      <c r="G183" s="1"/>
      <c r="H183" s="1"/>
    </row>
    <row r="184" spans="2:8" x14ac:dyDescent="0.25">
      <c r="B184">
        <v>755.37346290849382</v>
      </c>
      <c r="C184" s="43">
        <f t="shared" si="4"/>
        <v>1510.7469258169876</v>
      </c>
      <c r="D184" s="1">
        <f t="shared" si="5"/>
        <v>1500</v>
      </c>
      <c r="G184" s="1"/>
      <c r="H184" s="1"/>
    </row>
    <row r="185" spans="2:8" x14ac:dyDescent="0.25">
      <c r="B185">
        <v>709.11806531631737</v>
      </c>
      <c r="C185" s="43">
        <f t="shared" si="4"/>
        <v>1418.2361306326347</v>
      </c>
      <c r="D185" s="1">
        <f t="shared" si="5"/>
        <v>1500</v>
      </c>
      <c r="G185" s="1"/>
      <c r="H185" s="1"/>
    </row>
    <row r="186" spans="2:8" x14ac:dyDescent="0.25">
      <c r="B186">
        <v>652.06965771841351</v>
      </c>
      <c r="C186" s="43">
        <f t="shared" si="4"/>
        <v>1304.139315436827</v>
      </c>
      <c r="D186" s="1">
        <f t="shared" si="5"/>
        <v>1500</v>
      </c>
      <c r="G186" s="1"/>
      <c r="H186" s="1"/>
    </row>
    <row r="187" spans="2:8" x14ac:dyDescent="0.25">
      <c r="B187">
        <v>1194.3781380808214</v>
      </c>
      <c r="C187" s="43">
        <f t="shared" si="4"/>
        <v>2388.7562761616427</v>
      </c>
      <c r="D187" s="1">
        <f t="shared" si="5"/>
        <v>2180.3234832828748</v>
      </c>
      <c r="G187" s="1"/>
      <c r="H187" s="1"/>
    </row>
    <row r="188" spans="2:8" x14ac:dyDescent="0.25">
      <c r="B188">
        <v>1015.4167087251262</v>
      </c>
      <c r="C188" s="43">
        <f t="shared" si="4"/>
        <v>2030.8334174502525</v>
      </c>
      <c r="D188" s="1">
        <f t="shared" si="5"/>
        <v>1553.9584805379418</v>
      </c>
      <c r="G188" s="1"/>
      <c r="H188" s="1"/>
    </row>
    <row r="189" spans="2:8" x14ac:dyDescent="0.25">
      <c r="B189">
        <v>1379.9559913252888</v>
      </c>
      <c r="C189" s="43">
        <f t="shared" si="4"/>
        <v>2759.9119826505776</v>
      </c>
      <c r="D189" s="1">
        <f t="shared" si="5"/>
        <v>2829.8459696385107</v>
      </c>
      <c r="G189" s="1"/>
      <c r="H189" s="1"/>
    </row>
    <row r="190" spans="2:8" x14ac:dyDescent="0.25">
      <c r="B190">
        <v>1056.6682574620354</v>
      </c>
      <c r="C190" s="43">
        <f t="shared" si="4"/>
        <v>2113.3365149240708</v>
      </c>
      <c r="D190" s="1">
        <f t="shared" si="5"/>
        <v>1698.3389011171239</v>
      </c>
      <c r="G190" s="1"/>
      <c r="H190" s="1"/>
    </row>
    <row r="191" spans="2:8" x14ac:dyDescent="0.25">
      <c r="B191">
        <v>1743.225853516662</v>
      </c>
      <c r="C191" s="43">
        <f t="shared" si="4"/>
        <v>3486.4517070333241</v>
      </c>
      <c r="D191" s="1">
        <f t="shared" si="5"/>
        <v>4101.2904873083171</v>
      </c>
      <c r="G191" s="1"/>
      <c r="H191" s="1"/>
    </row>
    <row r="192" spans="2:8" x14ac:dyDescent="0.25">
      <c r="B192">
        <v>1106.1815264668548</v>
      </c>
      <c r="C192" s="43">
        <f t="shared" si="4"/>
        <v>2212.3630529337097</v>
      </c>
      <c r="D192" s="1">
        <f t="shared" si="5"/>
        <v>1871.635342633992</v>
      </c>
      <c r="G192" s="1"/>
      <c r="H192" s="1"/>
    </row>
    <row r="193" spans="2:8" x14ac:dyDescent="0.25">
      <c r="B193">
        <v>1423.7581270038499</v>
      </c>
      <c r="C193" s="43">
        <f t="shared" si="4"/>
        <v>2847.5162540076999</v>
      </c>
      <c r="D193" s="1">
        <f t="shared" si="5"/>
        <v>2983.1534445134748</v>
      </c>
      <c r="G193" s="1"/>
      <c r="H193" s="1"/>
    </row>
    <row r="194" spans="2:8" x14ac:dyDescent="0.25">
      <c r="B194">
        <v>390.3626573276706</v>
      </c>
      <c r="C194" s="43">
        <f t="shared" si="4"/>
        <v>780.72531465534121</v>
      </c>
      <c r="D194" s="1">
        <f t="shared" si="5"/>
        <v>1500</v>
      </c>
      <c r="G194" s="1"/>
      <c r="H194" s="1"/>
    </row>
    <row r="195" spans="2:8" x14ac:dyDescent="0.25">
      <c r="B195">
        <v>1623.0713943344308</v>
      </c>
      <c r="C195" s="43">
        <f t="shared" si="4"/>
        <v>3246.1427886688616</v>
      </c>
      <c r="D195" s="1">
        <f t="shared" si="5"/>
        <v>3680.7498801705078</v>
      </c>
      <c r="G195" s="1"/>
      <c r="H195" s="1"/>
    </row>
    <row r="196" spans="2:8" x14ac:dyDescent="0.25">
      <c r="B196">
        <v>1104.4250614134507</v>
      </c>
      <c r="C196" s="43">
        <f t="shared" si="4"/>
        <v>2208.8501228269015</v>
      </c>
      <c r="D196" s="1">
        <f t="shared" si="5"/>
        <v>1865.4877149470776</v>
      </c>
      <c r="G196" s="1"/>
      <c r="H196" s="1"/>
    </row>
    <row r="197" spans="2:8" x14ac:dyDescent="0.25">
      <c r="B197">
        <v>1202.7933969705482</v>
      </c>
      <c r="C197" s="43">
        <f t="shared" si="4"/>
        <v>2405.5867939410964</v>
      </c>
      <c r="D197" s="1">
        <f t="shared" si="5"/>
        <v>2209.7768893969187</v>
      </c>
      <c r="G197" s="1"/>
      <c r="H197" s="1"/>
    </row>
    <row r="198" spans="2:8" x14ac:dyDescent="0.25">
      <c r="B198">
        <v>752.03336862733704</v>
      </c>
      <c r="C198" s="43">
        <f t="shared" si="4"/>
        <v>1504.0667372546741</v>
      </c>
      <c r="D198" s="1">
        <f t="shared" si="5"/>
        <v>1500</v>
      </c>
      <c r="G198" s="1"/>
      <c r="H198" s="1"/>
    </row>
    <row r="199" spans="2:8" x14ac:dyDescent="0.25">
      <c r="B199">
        <v>1140.5427149214229</v>
      </c>
      <c r="C199" s="43">
        <f t="shared" si="4"/>
        <v>2281.0854298428458</v>
      </c>
      <c r="D199" s="1">
        <f t="shared" si="5"/>
        <v>1991.8995022249801</v>
      </c>
      <c r="G199" s="1"/>
      <c r="H199" s="1"/>
    </row>
    <row r="200" spans="2:8" x14ac:dyDescent="0.25">
      <c r="B200">
        <v>992.33725293862517</v>
      </c>
      <c r="C200" s="43">
        <f t="shared" si="4"/>
        <v>1984.6745058772503</v>
      </c>
      <c r="D200" s="1">
        <f t="shared" si="5"/>
        <v>1500</v>
      </c>
      <c r="G200" s="1"/>
      <c r="H200" s="1"/>
    </row>
    <row r="201" spans="2:8" x14ac:dyDescent="0.25">
      <c r="B201">
        <v>566.10648769611726</v>
      </c>
      <c r="C201" s="43">
        <f t="shared" si="4"/>
        <v>1132.2129753922345</v>
      </c>
      <c r="D201" s="1">
        <f t="shared" si="5"/>
        <v>1500</v>
      </c>
      <c r="G201" s="1"/>
      <c r="H201" s="1"/>
    </row>
    <row r="202" spans="2:8" x14ac:dyDescent="0.25">
      <c r="B202">
        <v>1403.6034561116248</v>
      </c>
      <c r="C202" s="43">
        <f t="shared" si="4"/>
        <v>2807.2069122232497</v>
      </c>
      <c r="D202" s="1">
        <f t="shared" si="5"/>
        <v>2912.6120963906869</v>
      </c>
      <c r="G202" s="1"/>
      <c r="H202" s="1"/>
    </row>
    <row r="203" spans="2:8" x14ac:dyDescent="0.25">
      <c r="B203">
        <v>1583.6799282454303</v>
      </c>
      <c r="C203" s="43">
        <f t="shared" si="4"/>
        <v>3167.3598564908607</v>
      </c>
      <c r="D203" s="1">
        <f t="shared" si="5"/>
        <v>3542.8797488590062</v>
      </c>
      <c r="G203" s="1"/>
      <c r="H203" s="1"/>
    </row>
    <row r="204" spans="2:8" x14ac:dyDescent="0.25">
      <c r="B204">
        <v>358.64476629404817</v>
      </c>
      <c r="C204" s="43">
        <f t="shared" si="4"/>
        <v>717.28953258809634</v>
      </c>
      <c r="D204" s="1">
        <f t="shared" si="5"/>
        <v>1500</v>
      </c>
      <c r="G204" s="1"/>
      <c r="H204" s="1"/>
    </row>
    <row r="205" spans="2:8" x14ac:dyDescent="0.25">
      <c r="B205">
        <v>493.50705083389767</v>
      </c>
      <c r="C205" s="43">
        <f t="shared" si="4"/>
        <v>987.01410166779533</v>
      </c>
      <c r="D205" s="1">
        <f t="shared" si="5"/>
        <v>1500</v>
      </c>
      <c r="G205" s="1"/>
      <c r="H205" s="1"/>
    </row>
    <row r="206" spans="2:8" x14ac:dyDescent="0.25">
      <c r="B206">
        <v>1151.5551257446641</v>
      </c>
      <c r="C206" s="43">
        <f t="shared" si="4"/>
        <v>2303.1102514893282</v>
      </c>
      <c r="D206" s="1">
        <f t="shared" si="5"/>
        <v>2030.4429401063244</v>
      </c>
      <c r="G206" s="1"/>
      <c r="H206" s="1"/>
    </row>
    <row r="207" spans="2:8" x14ac:dyDescent="0.25">
      <c r="B207">
        <v>1221.992017264085</v>
      </c>
      <c r="C207" s="43">
        <f t="shared" si="4"/>
        <v>2443.98403452817</v>
      </c>
      <c r="D207" s="1">
        <f t="shared" si="5"/>
        <v>2276.9720604242975</v>
      </c>
      <c r="G207" s="1"/>
      <c r="H207" s="1"/>
    </row>
    <row r="208" spans="2:8" x14ac:dyDescent="0.25">
      <c r="B208">
        <v>1782.8304278567084</v>
      </c>
      <c r="C208" s="43">
        <f t="shared" si="4"/>
        <v>3565.6608557134168</v>
      </c>
      <c r="D208" s="1">
        <f t="shared" si="5"/>
        <v>4239.9064974984794</v>
      </c>
      <c r="G208" s="1"/>
      <c r="H208" s="1"/>
    </row>
    <row r="209" spans="2:8" x14ac:dyDescent="0.25">
      <c r="B209">
        <v>918.61899775841448</v>
      </c>
      <c r="C209" s="43">
        <f t="shared" si="4"/>
        <v>1837.237995516829</v>
      </c>
      <c r="D209" s="1">
        <f t="shared" si="5"/>
        <v>1500</v>
      </c>
      <c r="G209" s="1"/>
      <c r="H209" s="1"/>
    </row>
    <row r="210" spans="2:8" x14ac:dyDescent="0.25">
      <c r="B210">
        <v>1679.7867154139676</v>
      </c>
      <c r="C210" s="43">
        <f t="shared" ref="C210:C273" si="6">B210*2</f>
        <v>3359.5734308279352</v>
      </c>
      <c r="D210" s="1">
        <f t="shared" ref="D210:D273" si="7">IF(B210&lt;=1000,1500,1500+(B210-1000)*3.5)</f>
        <v>3879.2535039488866</v>
      </c>
      <c r="G210" s="1"/>
      <c r="H210" s="1"/>
    </row>
    <row r="211" spans="2:8" x14ac:dyDescent="0.25">
      <c r="B211">
        <v>483.86180495191365</v>
      </c>
      <c r="C211" s="43">
        <f t="shared" si="6"/>
        <v>967.72360990382731</v>
      </c>
      <c r="D211" s="1">
        <f t="shared" si="7"/>
        <v>1500</v>
      </c>
      <c r="G211" s="1"/>
      <c r="H211" s="1"/>
    </row>
    <row r="212" spans="2:8" x14ac:dyDescent="0.25">
      <c r="B212">
        <v>1027.8080306136981</v>
      </c>
      <c r="C212" s="43">
        <f t="shared" si="6"/>
        <v>2055.6160612273961</v>
      </c>
      <c r="D212" s="1">
        <f t="shared" si="7"/>
        <v>1597.3281071479432</v>
      </c>
      <c r="G212" s="1"/>
      <c r="H212" s="1"/>
    </row>
    <row r="213" spans="2:8" x14ac:dyDescent="0.25">
      <c r="B213">
        <v>850.66137742734281</v>
      </c>
      <c r="C213" s="43">
        <f t="shared" si="6"/>
        <v>1701.3227548546856</v>
      </c>
      <c r="D213" s="1">
        <f t="shared" si="7"/>
        <v>1500</v>
      </c>
      <c r="G213" s="1"/>
      <c r="H213" s="1"/>
    </row>
    <row r="214" spans="2:8" x14ac:dyDescent="0.25">
      <c r="B214">
        <v>1697.1156044576783</v>
      </c>
      <c r="C214" s="43">
        <f t="shared" si="6"/>
        <v>3394.2312089153565</v>
      </c>
      <c r="D214" s="1">
        <f t="shared" si="7"/>
        <v>3939.904615601874</v>
      </c>
      <c r="G214" s="1"/>
      <c r="H214" s="1"/>
    </row>
    <row r="215" spans="2:8" x14ac:dyDescent="0.25">
      <c r="B215">
        <v>688.90718083031243</v>
      </c>
      <c r="C215" s="43">
        <f t="shared" si="6"/>
        <v>1377.8143616606249</v>
      </c>
      <c r="D215" s="1">
        <f t="shared" si="7"/>
        <v>1500</v>
      </c>
      <c r="G215" s="1"/>
      <c r="H215" s="1"/>
    </row>
    <row r="216" spans="2:8" x14ac:dyDescent="0.25">
      <c r="B216">
        <v>705.33581336468342</v>
      </c>
      <c r="C216" s="43">
        <f t="shared" si="6"/>
        <v>1410.6716267293668</v>
      </c>
      <c r="D216" s="1">
        <f t="shared" si="7"/>
        <v>1500</v>
      </c>
      <c r="G216" s="1"/>
      <c r="H216" s="1"/>
    </row>
    <row r="217" spans="2:8" x14ac:dyDescent="0.25">
      <c r="B217">
        <v>1062.4683257277065</v>
      </c>
      <c r="C217" s="43">
        <f t="shared" si="6"/>
        <v>2124.9366514554131</v>
      </c>
      <c r="D217" s="1">
        <f t="shared" si="7"/>
        <v>1718.6391400469729</v>
      </c>
      <c r="G217" s="1"/>
      <c r="H217" s="1"/>
    </row>
    <row r="218" spans="2:8" x14ac:dyDescent="0.25">
      <c r="B218">
        <v>851.19498706382001</v>
      </c>
      <c r="C218" s="43">
        <f t="shared" si="6"/>
        <v>1702.38997412764</v>
      </c>
      <c r="D218" s="1">
        <f t="shared" si="7"/>
        <v>1500</v>
      </c>
      <c r="G218" s="1"/>
      <c r="H218" s="1"/>
    </row>
    <row r="219" spans="2:8" x14ac:dyDescent="0.25">
      <c r="B219">
        <v>850.58502762086573</v>
      </c>
      <c r="C219" s="43">
        <f t="shared" si="6"/>
        <v>1701.1700552417315</v>
      </c>
      <c r="D219" s="1">
        <f t="shared" si="7"/>
        <v>1500</v>
      </c>
      <c r="G219" s="1"/>
      <c r="H219" s="1"/>
    </row>
    <row r="220" spans="2:8" x14ac:dyDescent="0.25">
      <c r="B220">
        <v>592.70978070463752</v>
      </c>
      <c r="C220" s="43">
        <f t="shared" si="6"/>
        <v>1185.419561409275</v>
      </c>
      <c r="D220" s="1">
        <f t="shared" si="7"/>
        <v>1500</v>
      </c>
      <c r="G220" s="1"/>
      <c r="H220" s="1"/>
    </row>
    <row r="221" spans="2:8" x14ac:dyDescent="0.25">
      <c r="B221">
        <v>984.03903578520112</v>
      </c>
      <c r="C221" s="43">
        <f t="shared" si="6"/>
        <v>1968.0780715704022</v>
      </c>
      <c r="D221" s="1">
        <f t="shared" si="7"/>
        <v>1500</v>
      </c>
      <c r="G221" s="1"/>
      <c r="H221" s="1"/>
    </row>
    <row r="222" spans="2:8" x14ac:dyDescent="0.25">
      <c r="B222">
        <v>1086.2131155420793</v>
      </c>
      <c r="C222" s="43">
        <f t="shared" si="6"/>
        <v>2172.4262310841586</v>
      </c>
      <c r="D222" s="1">
        <f t="shared" si="7"/>
        <v>1801.7459043972776</v>
      </c>
      <c r="G222" s="1"/>
      <c r="H222" s="1"/>
    </row>
    <row r="223" spans="2:8" x14ac:dyDescent="0.25">
      <c r="B223">
        <v>1374.4437030994159</v>
      </c>
      <c r="C223" s="43">
        <f t="shared" si="6"/>
        <v>2748.8874061988317</v>
      </c>
      <c r="D223" s="1">
        <f t="shared" si="7"/>
        <v>2810.5529608479555</v>
      </c>
      <c r="G223" s="1"/>
      <c r="H223" s="1"/>
    </row>
    <row r="224" spans="2:8" x14ac:dyDescent="0.25">
      <c r="B224">
        <v>1098.0720863074675</v>
      </c>
      <c r="C224" s="43">
        <f t="shared" si="6"/>
        <v>2196.1441726149351</v>
      </c>
      <c r="D224" s="1">
        <f t="shared" si="7"/>
        <v>1843.2523020761364</v>
      </c>
      <c r="G224" s="1"/>
      <c r="H224" s="1"/>
    </row>
    <row r="225" spans="2:8" x14ac:dyDescent="0.25">
      <c r="B225">
        <v>1304.1028780947381</v>
      </c>
      <c r="C225" s="43">
        <f t="shared" si="6"/>
        <v>2608.2057561894762</v>
      </c>
      <c r="D225" s="1">
        <f t="shared" si="7"/>
        <v>2564.3600733315834</v>
      </c>
      <c r="G225" s="1"/>
      <c r="H225" s="1"/>
    </row>
    <row r="226" spans="2:8" x14ac:dyDescent="0.25">
      <c r="B226">
        <v>1572.9456488600699</v>
      </c>
      <c r="C226" s="43">
        <f t="shared" si="6"/>
        <v>3145.8912977201398</v>
      </c>
      <c r="D226" s="1">
        <f t="shared" si="7"/>
        <v>3505.3097710102447</v>
      </c>
      <c r="G226" s="1"/>
      <c r="H226" s="1"/>
    </row>
    <row r="227" spans="2:8" x14ac:dyDescent="0.25">
      <c r="B227">
        <v>929.38977402928867</v>
      </c>
      <c r="C227" s="43">
        <f t="shared" si="6"/>
        <v>1858.7795480585773</v>
      </c>
      <c r="D227" s="1">
        <f t="shared" si="7"/>
        <v>1500</v>
      </c>
      <c r="G227" s="1"/>
      <c r="H227" s="1"/>
    </row>
    <row r="228" spans="2:8" x14ac:dyDescent="0.25">
      <c r="B228">
        <v>1339.4058539973339</v>
      </c>
      <c r="C228" s="43">
        <f t="shared" si="6"/>
        <v>2678.8117079946678</v>
      </c>
      <c r="D228" s="1">
        <f t="shared" si="7"/>
        <v>2687.9204889906687</v>
      </c>
      <c r="G228" s="1"/>
      <c r="H228" s="1"/>
    </row>
    <row r="229" spans="2:8" x14ac:dyDescent="0.25">
      <c r="B229">
        <v>1582.3912106328062</v>
      </c>
      <c r="C229" s="43">
        <f t="shared" si="6"/>
        <v>3164.7824212656124</v>
      </c>
      <c r="D229" s="1">
        <f t="shared" si="7"/>
        <v>3538.3692372148216</v>
      </c>
      <c r="G229" s="1"/>
      <c r="H229" s="1"/>
    </row>
    <row r="230" spans="2:8" x14ac:dyDescent="0.25">
      <c r="B230">
        <v>1094.7210849110998</v>
      </c>
      <c r="C230" s="43">
        <f t="shared" si="6"/>
        <v>2189.4421698221995</v>
      </c>
      <c r="D230" s="1">
        <f t="shared" si="7"/>
        <v>1831.5237971888491</v>
      </c>
      <c r="G230" s="1"/>
      <c r="H230" s="1"/>
    </row>
    <row r="231" spans="2:8" x14ac:dyDescent="0.25">
      <c r="B231">
        <v>1285.7260669819079</v>
      </c>
      <c r="C231" s="43">
        <f t="shared" si="6"/>
        <v>2571.4521339638159</v>
      </c>
      <c r="D231" s="1">
        <f t="shared" si="7"/>
        <v>2500.0412344366778</v>
      </c>
      <c r="G231" s="1"/>
      <c r="H231" s="1"/>
    </row>
    <row r="232" spans="2:8" x14ac:dyDescent="0.25">
      <c r="B232">
        <v>817.56667285054573</v>
      </c>
      <c r="C232" s="43">
        <f t="shared" si="6"/>
        <v>1635.1333457010915</v>
      </c>
      <c r="D232" s="1">
        <f t="shared" si="7"/>
        <v>1500</v>
      </c>
      <c r="G232" s="1"/>
      <c r="H232" s="1"/>
    </row>
    <row r="233" spans="2:8" x14ac:dyDescent="0.25">
      <c r="B233">
        <v>577.86435789358802</v>
      </c>
      <c r="C233" s="43">
        <f t="shared" si="6"/>
        <v>1155.728715787176</v>
      </c>
      <c r="D233" s="1">
        <f t="shared" si="7"/>
        <v>1500</v>
      </c>
      <c r="G233" s="1"/>
      <c r="H233" s="1"/>
    </row>
    <row r="234" spans="2:8" x14ac:dyDescent="0.25">
      <c r="B234">
        <v>1409.2046792769106</v>
      </c>
      <c r="C234" s="43">
        <f t="shared" si="6"/>
        <v>2818.4093585538212</v>
      </c>
      <c r="D234" s="1">
        <f t="shared" si="7"/>
        <v>2932.2163774691871</v>
      </c>
      <c r="G234" s="1"/>
      <c r="H234" s="1"/>
    </row>
    <row r="235" spans="2:8" x14ac:dyDescent="0.25">
      <c r="B235">
        <v>1613.8137705468689</v>
      </c>
      <c r="C235" s="43">
        <f t="shared" si="6"/>
        <v>3227.6275410937378</v>
      </c>
      <c r="D235" s="1">
        <f t="shared" si="7"/>
        <v>3648.3481969140412</v>
      </c>
      <c r="G235" s="1"/>
      <c r="H235" s="1"/>
    </row>
    <row r="236" spans="2:8" x14ac:dyDescent="0.25">
      <c r="B236">
        <v>1281.145078593283</v>
      </c>
      <c r="C236" s="43">
        <f t="shared" si="6"/>
        <v>2562.2901571865659</v>
      </c>
      <c r="D236" s="1">
        <f t="shared" si="7"/>
        <v>2484.0077750764904</v>
      </c>
      <c r="G236" s="1"/>
      <c r="H236" s="1"/>
    </row>
    <row r="237" spans="2:8" x14ac:dyDescent="0.25">
      <c r="B237">
        <v>1451.2910418318934</v>
      </c>
      <c r="C237" s="43">
        <f t="shared" si="6"/>
        <v>2902.5820836637868</v>
      </c>
      <c r="D237" s="1">
        <f t="shared" si="7"/>
        <v>3079.5186464116268</v>
      </c>
      <c r="G237" s="1"/>
      <c r="H237" s="1"/>
    </row>
    <row r="238" spans="2:8" x14ac:dyDescent="0.25">
      <c r="B238">
        <v>708.39819571239059</v>
      </c>
      <c r="C238" s="43">
        <f t="shared" si="6"/>
        <v>1416.7963914247812</v>
      </c>
      <c r="D238" s="1">
        <f t="shared" si="7"/>
        <v>1500</v>
      </c>
      <c r="G238" s="1"/>
      <c r="H238" s="1"/>
    </row>
    <row r="239" spans="2:8" x14ac:dyDescent="0.25">
      <c r="B239">
        <v>1059.9890545393573</v>
      </c>
      <c r="C239" s="43">
        <f t="shared" si="6"/>
        <v>2119.9781090787146</v>
      </c>
      <c r="D239" s="1">
        <f t="shared" si="7"/>
        <v>1709.9616908877506</v>
      </c>
      <c r="G239" s="1"/>
      <c r="H239" s="1"/>
    </row>
    <row r="240" spans="2:8" x14ac:dyDescent="0.25">
      <c r="B240">
        <v>1188.1287805693428</v>
      </c>
      <c r="C240" s="43">
        <f t="shared" si="6"/>
        <v>2376.2575611386856</v>
      </c>
      <c r="D240" s="1">
        <f t="shared" si="7"/>
        <v>2158.4507319926997</v>
      </c>
      <c r="G240" s="1"/>
      <c r="H240" s="1"/>
    </row>
    <row r="241" spans="2:8" x14ac:dyDescent="0.25">
      <c r="B241">
        <v>855.63250493697706</v>
      </c>
      <c r="C241" s="43">
        <f t="shared" si="6"/>
        <v>1711.2650098739541</v>
      </c>
      <c r="D241" s="1">
        <f t="shared" si="7"/>
        <v>1500</v>
      </c>
      <c r="G241" s="1"/>
      <c r="H241" s="1"/>
    </row>
    <row r="242" spans="2:8" x14ac:dyDescent="0.25">
      <c r="B242">
        <v>483.32148324453738</v>
      </c>
      <c r="C242" s="43">
        <f t="shared" si="6"/>
        <v>966.64296648907475</v>
      </c>
      <c r="D242" s="1">
        <f t="shared" si="7"/>
        <v>1500</v>
      </c>
      <c r="G242" s="1"/>
      <c r="H242" s="1"/>
    </row>
    <row r="243" spans="2:8" x14ac:dyDescent="0.25">
      <c r="B243">
        <v>1090.5981953613373</v>
      </c>
      <c r="C243" s="43">
        <f t="shared" si="6"/>
        <v>2181.1963907226746</v>
      </c>
      <c r="D243" s="1">
        <f t="shared" si="7"/>
        <v>1817.0936837646805</v>
      </c>
      <c r="G243" s="1"/>
      <c r="H243" s="1"/>
    </row>
    <row r="244" spans="2:8" x14ac:dyDescent="0.25">
      <c r="B244">
        <v>825.94249832374044</v>
      </c>
      <c r="C244" s="43">
        <f t="shared" si="6"/>
        <v>1651.8849966474809</v>
      </c>
      <c r="D244" s="1">
        <f t="shared" si="7"/>
        <v>1500</v>
      </c>
      <c r="G244" s="1"/>
      <c r="H244" s="1"/>
    </row>
    <row r="245" spans="2:8" x14ac:dyDescent="0.25">
      <c r="B245">
        <v>1477.3120626899181</v>
      </c>
      <c r="C245" s="43">
        <f t="shared" si="6"/>
        <v>2954.6241253798362</v>
      </c>
      <c r="D245" s="1">
        <f t="shared" si="7"/>
        <v>3170.5922194147133</v>
      </c>
      <c r="G245" s="1"/>
      <c r="H245" s="1"/>
    </row>
    <row r="246" spans="2:8" x14ac:dyDescent="0.25">
      <c r="B246">
        <v>1009.2902660119871</v>
      </c>
      <c r="C246" s="43">
        <f t="shared" si="6"/>
        <v>2018.5805320239742</v>
      </c>
      <c r="D246" s="1">
        <f t="shared" si="7"/>
        <v>1532.5159310419549</v>
      </c>
      <c r="G246" s="1"/>
      <c r="H246" s="1"/>
    </row>
    <row r="247" spans="2:8" x14ac:dyDescent="0.25">
      <c r="B247">
        <v>1708.829846194305</v>
      </c>
      <c r="C247" s="43">
        <f t="shared" si="6"/>
        <v>3417.65969238861</v>
      </c>
      <c r="D247" s="1">
        <f t="shared" si="7"/>
        <v>3980.9044616800675</v>
      </c>
      <c r="G247" s="1"/>
      <c r="H247" s="1"/>
    </row>
    <row r="248" spans="2:8" x14ac:dyDescent="0.25">
      <c r="B248">
        <v>1463.6387352596212</v>
      </c>
      <c r="C248" s="43">
        <f t="shared" si="6"/>
        <v>2927.2774705192423</v>
      </c>
      <c r="D248" s="1">
        <f t="shared" si="7"/>
        <v>3122.7355734086741</v>
      </c>
      <c r="G248" s="1"/>
      <c r="H248" s="1"/>
    </row>
    <row r="249" spans="2:8" x14ac:dyDescent="0.25">
      <c r="B249">
        <v>926.40667801907694</v>
      </c>
      <c r="C249" s="43">
        <f t="shared" si="6"/>
        <v>1852.8133560381539</v>
      </c>
      <c r="D249" s="1">
        <f t="shared" si="7"/>
        <v>1500</v>
      </c>
      <c r="G249" s="1"/>
      <c r="H249" s="1"/>
    </row>
    <row r="250" spans="2:8" x14ac:dyDescent="0.25">
      <c r="B250">
        <v>1096.9364878122287</v>
      </c>
      <c r="C250" s="43">
        <f t="shared" si="6"/>
        <v>2193.8729756244575</v>
      </c>
      <c r="D250" s="1">
        <f t="shared" si="7"/>
        <v>1839.2777073428006</v>
      </c>
      <c r="G250" s="1"/>
      <c r="H250" s="1"/>
    </row>
    <row r="251" spans="2:8" x14ac:dyDescent="0.25">
      <c r="B251">
        <v>652.93887089984491</v>
      </c>
      <c r="C251" s="43">
        <f t="shared" si="6"/>
        <v>1305.8777417996898</v>
      </c>
      <c r="D251" s="1">
        <f t="shared" si="7"/>
        <v>1500</v>
      </c>
      <c r="G251" s="1"/>
      <c r="H251" s="1"/>
    </row>
    <row r="252" spans="2:8" x14ac:dyDescent="0.25">
      <c r="B252">
        <v>1083.7900579475099</v>
      </c>
      <c r="C252" s="43">
        <f t="shared" si="6"/>
        <v>2167.5801158950198</v>
      </c>
      <c r="D252" s="1">
        <f t="shared" si="7"/>
        <v>1793.2652028162847</v>
      </c>
      <c r="G252" s="1"/>
      <c r="H252" s="1"/>
    </row>
    <row r="253" spans="2:8" x14ac:dyDescent="0.25">
      <c r="B253">
        <v>1664.1240979709546</v>
      </c>
      <c r="C253" s="43">
        <f t="shared" si="6"/>
        <v>3328.2481959419092</v>
      </c>
      <c r="D253" s="1">
        <f t="shared" si="7"/>
        <v>3824.4343428983411</v>
      </c>
      <c r="G253" s="1"/>
      <c r="H253" s="1"/>
    </row>
    <row r="254" spans="2:8" x14ac:dyDescent="0.25">
      <c r="B254">
        <v>1116.6229917592427</v>
      </c>
      <c r="C254" s="43">
        <f t="shared" si="6"/>
        <v>2233.2459835184854</v>
      </c>
      <c r="D254" s="1">
        <f t="shared" si="7"/>
        <v>1908.1804711573495</v>
      </c>
      <c r="G254" s="1"/>
      <c r="H254" s="1"/>
    </row>
    <row r="255" spans="2:8" x14ac:dyDescent="0.25">
      <c r="B255">
        <v>1244.2471468432923</v>
      </c>
      <c r="C255" s="43">
        <f t="shared" si="6"/>
        <v>2488.4942936865846</v>
      </c>
      <c r="D255" s="1">
        <f t="shared" si="7"/>
        <v>2354.865013951523</v>
      </c>
      <c r="G255" s="1"/>
      <c r="H255" s="1"/>
    </row>
    <row r="256" spans="2:8" x14ac:dyDescent="0.25">
      <c r="B256">
        <v>1691.2022699955851</v>
      </c>
      <c r="C256" s="43">
        <f t="shared" si="6"/>
        <v>3382.4045399911702</v>
      </c>
      <c r="D256" s="1">
        <f t="shared" si="7"/>
        <v>3919.2079449845478</v>
      </c>
      <c r="G256" s="1"/>
      <c r="H256" s="1"/>
    </row>
    <row r="257" spans="2:8" x14ac:dyDescent="0.25">
      <c r="B257">
        <v>1623.8785208600457</v>
      </c>
      <c r="C257" s="43">
        <f t="shared" si="6"/>
        <v>3247.7570417200914</v>
      </c>
      <c r="D257" s="1">
        <f t="shared" si="7"/>
        <v>3683.5748230101599</v>
      </c>
      <c r="G257" s="1"/>
      <c r="H257" s="1"/>
    </row>
    <row r="258" spans="2:8" x14ac:dyDescent="0.25">
      <c r="B258">
        <v>996.98955708055291</v>
      </c>
      <c r="C258" s="43">
        <f t="shared" si="6"/>
        <v>1993.9791141611058</v>
      </c>
      <c r="D258" s="1">
        <f t="shared" si="7"/>
        <v>1500</v>
      </c>
      <c r="G258" s="1"/>
      <c r="H258" s="1"/>
    </row>
    <row r="259" spans="2:8" x14ac:dyDescent="0.25">
      <c r="B259">
        <v>1755.7623239384266</v>
      </c>
      <c r="C259" s="43">
        <f t="shared" si="6"/>
        <v>3511.5246478768531</v>
      </c>
      <c r="D259" s="1">
        <f t="shared" si="7"/>
        <v>4145.168133784493</v>
      </c>
      <c r="G259" s="1"/>
      <c r="H259" s="1"/>
    </row>
    <row r="260" spans="2:8" x14ac:dyDescent="0.25">
      <c r="B260">
        <v>1371.5692587368831</v>
      </c>
      <c r="C260" s="43">
        <f t="shared" si="6"/>
        <v>2743.1385174737661</v>
      </c>
      <c r="D260" s="1">
        <f t="shared" si="7"/>
        <v>2800.4924055790907</v>
      </c>
      <c r="G260" s="1"/>
      <c r="H260" s="1"/>
    </row>
    <row r="261" spans="2:8" x14ac:dyDescent="0.25">
      <c r="B261">
        <v>1648.1770565235929</v>
      </c>
      <c r="C261" s="43">
        <f t="shared" si="6"/>
        <v>3296.3541130471858</v>
      </c>
      <c r="D261" s="1">
        <f t="shared" si="7"/>
        <v>3768.6196978325752</v>
      </c>
      <c r="G261" s="1"/>
      <c r="H261" s="1"/>
    </row>
    <row r="262" spans="2:8" x14ac:dyDescent="0.25">
      <c r="B262">
        <v>1041.5371521333436</v>
      </c>
      <c r="C262" s="43">
        <f t="shared" si="6"/>
        <v>2083.0743042666872</v>
      </c>
      <c r="D262" s="1">
        <f t="shared" si="7"/>
        <v>1645.3800324667027</v>
      </c>
      <c r="G262" s="1"/>
      <c r="H262" s="1"/>
    </row>
    <row r="263" spans="2:8" x14ac:dyDescent="0.25">
      <c r="B263">
        <v>1180.5009314969648</v>
      </c>
      <c r="C263" s="43">
        <f t="shared" si="6"/>
        <v>2361.0018629939295</v>
      </c>
      <c r="D263" s="1">
        <f t="shared" si="7"/>
        <v>2131.7532602393767</v>
      </c>
      <c r="G263" s="1"/>
      <c r="H263" s="1"/>
    </row>
    <row r="264" spans="2:8" x14ac:dyDescent="0.25">
      <c r="B264">
        <v>1561.3622925059753</v>
      </c>
      <c r="C264" s="43">
        <f t="shared" si="6"/>
        <v>3122.7245850119507</v>
      </c>
      <c r="D264" s="1">
        <f t="shared" si="7"/>
        <v>3464.7680237709137</v>
      </c>
      <c r="G264" s="1"/>
      <c r="H264" s="1"/>
    </row>
    <row r="265" spans="2:8" x14ac:dyDescent="0.25">
      <c r="B265">
        <v>1057.7950463642192</v>
      </c>
      <c r="C265" s="43">
        <f t="shared" si="6"/>
        <v>2115.5900927284383</v>
      </c>
      <c r="D265" s="1">
        <f t="shared" si="7"/>
        <v>1702.2826622747671</v>
      </c>
      <c r="G265" s="1"/>
      <c r="H265" s="1"/>
    </row>
    <row r="266" spans="2:8" x14ac:dyDescent="0.25">
      <c r="B266">
        <v>792.21434205584228</v>
      </c>
      <c r="C266" s="43">
        <f t="shared" si="6"/>
        <v>1584.4286841116846</v>
      </c>
      <c r="D266" s="1">
        <f t="shared" si="7"/>
        <v>1500</v>
      </c>
      <c r="G266" s="1"/>
      <c r="H266" s="1"/>
    </row>
    <row r="267" spans="2:8" x14ac:dyDescent="0.25">
      <c r="B267">
        <v>1039.6972056981322</v>
      </c>
      <c r="C267" s="43">
        <f t="shared" si="6"/>
        <v>2079.3944113962643</v>
      </c>
      <c r="D267" s="1">
        <f t="shared" si="7"/>
        <v>1638.9402199434626</v>
      </c>
      <c r="G267" s="1"/>
      <c r="H267" s="1"/>
    </row>
    <row r="268" spans="2:8" x14ac:dyDescent="0.25">
      <c r="B268">
        <v>1452.3876264150313</v>
      </c>
      <c r="C268" s="43">
        <f t="shared" si="6"/>
        <v>2904.7752528300625</v>
      </c>
      <c r="D268" s="1">
        <f t="shared" si="7"/>
        <v>3083.3566924526094</v>
      </c>
      <c r="G268" s="1"/>
      <c r="H268" s="1"/>
    </row>
    <row r="269" spans="2:8" x14ac:dyDescent="0.25">
      <c r="B269">
        <v>751.69273102920852</v>
      </c>
      <c r="C269" s="43">
        <f t="shared" si="6"/>
        <v>1503.385462058417</v>
      </c>
      <c r="D269" s="1">
        <f t="shared" si="7"/>
        <v>1500</v>
      </c>
      <c r="G269" s="1"/>
      <c r="H269" s="1"/>
    </row>
    <row r="270" spans="2:8" x14ac:dyDescent="0.25">
      <c r="B270">
        <v>1207.5598063177604</v>
      </c>
      <c r="C270" s="43">
        <f t="shared" si="6"/>
        <v>2415.1196126355208</v>
      </c>
      <c r="D270" s="1">
        <f t="shared" si="7"/>
        <v>2226.4593221121613</v>
      </c>
      <c r="G270" s="1"/>
      <c r="H270" s="1"/>
    </row>
    <row r="271" spans="2:8" x14ac:dyDescent="0.25">
      <c r="B271">
        <v>1650.8425876793917</v>
      </c>
      <c r="C271" s="43">
        <f t="shared" si="6"/>
        <v>3301.6851753587835</v>
      </c>
      <c r="D271" s="1">
        <f t="shared" si="7"/>
        <v>3777.949056877871</v>
      </c>
      <c r="G271" s="1"/>
      <c r="H271" s="1"/>
    </row>
    <row r="272" spans="2:8" x14ac:dyDescent="0.25">
      <c r="B272">
        <v>1125.9187904500432</v>
      </c>
      <c r="C272" s="43">
        <f t="shared" si="6"/>
        <v>2251.8375809000863</v>
      </c>
      <c r="D272" s="1">
        <f t="shared" si="7"/>
        <v>1940.7157665751511</v>
      </c>
      <c r="G272" s="1"/>
      <c r="H272" s="1"/>
    </row>
    <row r="273" spans="2:8" x14ac:dyDescent="0.25">
      <c r="B273">
        <v>596.45176023087697</v>
      </c>
      <c r="C273" s="43">
        <f t="shared" si="6"/>
        <v>1192.9035204617539</v>
      </c>
      <c r="D273" s="1">
        <f t="shared" si="7"/>
        <v>1500</v>
      </c>
      <c r="G273" s="1"/>
      <c r="H273" s="1"/>
    </row>
    <row r="274" spans="2:8" x14ac:dyDescent="0.25">
      <c r="B274">
        <v>1321.0793834162469</v>
      </c>
      <c r="C274" s="43">
        <f t="shared" ref="C274:C337" si="8">B274*2</f>
        <v>2642.1587668324937</v>
      </c>
      <c r="D274" s="1">
        <f t="shared" ref="D274:D337" si="9">IF(B274&lt;=1000,1500,1500+(B274-1000)*3.5)</f>
        <v>2623.777841956864</v>
      </c>
      <c r="G274" s="1"/>
      <c r="H274" s="1"/>
    </row>
    <row r="275" spans="2:8" x14ac:dyDescent="0.25">
      <c r="B275">
        <v>1112.8902413304895</v>
      </c>
      <c r="C275" s="43">
        <f t="shared" si="8"/>
        <v>2225.780482660979</v>
      </c>
      <c r="D275" s="1">
        <f t="shared" si="9"/>
        <v>1895.1158446567133</v>
      </c>
      <c r="G275" s="1"/>
      <c r="H275" s="1"/>
    </row>
    <row r="276" spans="2:8" x14ac:dyDescent="0.25">
      <c r="B276">
        <v>1086.8969077649235</v>
      </c>
      <c r="C276" s="43">
        <f t="shared" si="8"/>
        <v>2173.7938155298471</v>
      </c>
      <c r="D276" s="1">
        <f t="shared" si="9"/>
        <v>1804.1391771772323</v>
      </c>
      <c r="G276" s="1"/>
      <c r="H276" s="1"/>
    </row>
    <row r="277" spans="2:8" x14ac:dyDescent="0.25">
      <c r="B277">
        <v>975.63174747966696</v>
      </c>
      <c r="C277" s="43">
        <f t="shared" si="8"/>
        <v>1951.2634949593339</v>
      </c>
      <c r="D277" s="1">
        <f t="shared" si="9"/>
        <v>1500</v>
      </c>
      <c r="G277" s="1"/>
      <c r="H277" s="1"/>
    </row>
    <row r="278" spans="2:8" x14ac:dyDescent="0.25">
      <c r="B278">
        <v>1121.4842091079045</v>
      </c>
      <c r="C278" s="43">
        <f t="shared" si="8"/>
        <v>2242.9684182158089</v>
      </c>
      <c r="D278" s="1">
        <f t="shared" si="9"/>
        <v>1925.1947318776656</v>
      </c>
      <c r="G278" s="1"/>
      <c r="H278" s="1"/>
    </row>
    <row r="279" spans="2:8" x14ac:dyDescent="0.25">
      <c r="B279">
        <v>1112.4375960492325</v>
      </c>
      <c r="C279" s="43">
        <f t="shared" si="8"/>
        <v>2224.875192098465</v>
      </c>
      <c r="D279" s="1">
        <f t="shared" si="9"/>
        <v>1893.5315861723138</v>
      </c>
      <c r="G279" s="1"/>
      <c r="H279" s="1"/>
    </row>
    <row r="280" spans="2:8" x14ac:dyDescent="0.25">
      <c r="B280">
        <v>549.16354272910394</v>
      </c>
      <c r="C280" s="43">
        <f t="shared" si="8"/>
        <v>1098.3270854582079</v>
      </c>
      <c r="D280" s="1">
        <f t="shared" si="9"/>
        <v>1500</v>
      </c>
      <c r="G280" s="1"/>
      <c r="H280" s="1"/>
    </row>
    <row r="281" spans="2:8" x14ac:dyDescent="0.25">
      <c r="B281">
        <v>1108.0508382122498</v>
      </c>
      <c r="C281" s="43">
        <f t="shared" si="8"/>
        <v>2216.1016764244996</v>
      </c>
      <c r="D281" s="1">
        <f t="shared" si="9"/>
        <v>1878.1779337428743</v>
      </c>
      <c r="G281" s="1"/>
      <c r="H281" s="1"/>
    </row>
    <row r="282" spans="2:8" x14ac:dyDescent="0.25">
      <c r="B282">
        <v>1444.0487173317815</v>
      </c>
      <c r="C282" s="43">
        <f t="shared" si="8"/>
        <v>2888.097434663563</v>
      </c>
      <c r="D282" s="1">
        <f t="shared" si="9"/>
        <v>3054.1705106612353</v>
      </c>
      <c r="G282" s="1"/>
      <c r="H282" s="1"/>
    </row>
    <row r="283" spans="2:8" x14ac:dyDescent="0.25">
      <c r="B283">
        <v>1107.5977734265616</v>
      </c>
      <c r="C283" s="43">
        <f t="shared" si="8"/>
        <v>2215.1955468531232</v>
      </c>
      <c r="D283" s="1">
        <f t="shared" si="9"/>
        <v>1876.5922069929657</v>
      </c>
      <c r="G283" s="1"/>
      <c r="H283" s="1"/>
    </row>
    <row r="284" spans="2:8" x14ac:dyDescent="0.25">
      <c r="B284">
        <v>1615.9037416230713</v>
      </c>
      <c r="C284" s="43">
        <f t="shared" si="8"/>
        <v>3231.8074832461425</v>
      </c>
      <c r="D284" s="1">
        <f t="shared" si="9"/>
        <v>3655.6630956807494</v>
      </c>
      <c r="G284" s="1"/>
      <c r="H284" s="1"/>
    </row>
    <row r="285" spans="2:8" x14ac:dyDescent="0.25">
      <c r="B285">
        <v>1141.1354746826983</v>
      </c>
      <c r="C285" s="43">
        <f t="shared" si="8"/>
        <v>2282.2709493653965</v>
      </c>
      <c r="D285" s="1">
        <f t="shared" si="9"/>
        <v>1993.9741613894439</v>
      </c>
      <c r="G285" s="1"/>
      <c r="H285" s="1"/>
    </row>
    <row r="286" spans="2:8" x14ac:dyDescent="0.25">
      <c r="B286">
        <v>1375.2428590408381</v>
      </c>
      <c r="C286" s="43">
        <f t="shared" si="8"/>
        <v>2750.4857180816762</v>
      </c>
      <c r="D286" s="1">
        <f t="shared" si="9"/>
        <v>2813.3500066429333</v>
      </c>
      <c r="G286" s="1"/>
      <c r="H286" s="1"/>
    </row>
    <row r="287" spans="2:8" x14ac:dyDescent="0.25">
      <c r="B287">
        <v>732.37119593733223</v>
      </c>
      <c r="C287" s="43">
        <f t="shared" si="8"/>
        <v>1464.7423918746645</v>
      </c>
      <c r="D287" s="1">
        <f t="shared" si="9"/>
        <v>1500</v>
      </c>
      <c r="G287" s="1"/>
      <c r="H287" s="1"/>
    </row>
    <row r="288" spans="2:8" x14ac:dyDescent="0.25">
      <c r="B288">
        <v>1092.3332656887505</v>
      </c>
      <c r="C288" s="43">
        <f t="shared" si="8"/>
        <v>2184.6665313775011</v>
      </c>
      <c r="D288" s="1">
        <f t="shared" si="9"/>
        <v>1823.1664299106269</v>
      </c>
      <c r="G288" s="1"/>
      <c r="H288" s="1"/>
    </row>
    <row r="289" spans="2:8" x14ac:dyDescent="0.25">
      <c r="B289">
        <v>531.31782422616379</v>
      </c>
      <c r="C289" s="43">
        <f t="shared" si="8"/>
        <v>1062.6356484523276</v>
      </c>
      <c r="D289" s="1">
        <f t="shared" si="9"/>
        <v>1500</v>
      </c>
      <c r="G289" s="1"/>
      <c r="H289" s="1"/>
    </row>
    <row r="290" spans="2:8" x14ac:dyDescent="0.25">
      <c r="B290">
        <v>1800.1089763686759</v>
      </c>
      <c r="C290" s="43">
        <f t="shared" si="8"/>
        <v>3600.2179527373519</v>
      </c>
      <c r="D290" s="1">
        <f t="shared" si="9"/>
        <v>4300.3814172903658</v>
      </c>
      <c r="G290" s="1"/>
      <c r="H290" s="1"/>
    </row>
    <row r="291" spans="2:8" x14ac:dyDescent="0.25">
      <c r="B291">
        <v>1198.8676745034463</v>
      </c>
      <c r="C291" s="43">
        <f t="shared" si="8"/>
        <v>2397.7353490068926</v>
      </c>
      <c r="D291" s="1">
        <f t="shared" si="9"/>
        <v>2196.0368607620621</v>
      </c>
      <c r="G291" s="1"/>
      <c r="H291" s="1"/>
    </row>
    <row r="292" spans="2:8" x14ac:dyDescent="0.25">
      <c r="B292">
        <v>1472.3333841005224</v>
      </c>
      <c r="C292" s="43">
        <f t="shared" si="8"/>
        <v>2944.6667682010448</v>
      </c>
      <c r="D292" s="1">
        <f t="shared" si="9"/>
        <v>3153.1668443518283</v>
      </c>
      <c r="G292" s="1"/>
      <c r="H292" s="1"/>
    </row>
    <row r="293" spans="2:8" x14ac:dyDescent="0.25">
      <c r="B293">
        <v>694.69298594532302</v>
      </c>
      <c r="C293" s="43">
        <f t="shared" si="8"/>
        <v>1389.385971890646</v>
      </c>
      <c r="D293" s="1">
        <f t="shared" si="9"/>
        <v>1500</v>
      </c>
      <c r="G293" s="1"/>
      <c r="H293" s="1"/>
    </row>
    <row r="294" spans="2:8" x14ac:dyDescent="0.25">
      <c r="B294">
        <v>1555.886081661185</v>
      </c>
      <c r="C294" s="43">
        <f t="shared" si="8"/>
        <v>3111.77216332237</v>
      </c>
      <c r="D294" s="1">
        <f t="shared" si="9"/>
        <v>3445.6012858141476</v>
      </c>
      <c r="G294" s="1"/>
      <c r="H294" s="1"/>
    </row>
    <row r="295" spans="2:8" x14ac:dyDescent="0.25">
      <c r="B295">
        <v>1381.8878092309315</v>
      </c>
      <c r="C295" s="43">
        <f t="shared" si="8"/>
        <v>2763.7756184618629</v>
      </c>
      <c r="D295" s="1">
        <f t="shared" si="9"/>
        <v>2836.6073323082601</v>
      </c>
      <c r="G295" s="1"/>
      <c r="H295" s="1"/>
    </row>
    <row r="296" spans="2:8" x14ac:dyDescent="0.25">
      <c r="B296">
        <v>1675.3282223192509</v>
      </c>
      <c r="C296" s="43">
        <f t="shared" si="8"/>
        <v>3350.6564446385019</v>
      </c>
      <c r="D296" s="1">
        <f t="shared" si="9"/>
        <v>3863.6487781173782</v>
      </c>
      <c r="G296" s="1"/>
      <c r="H296" s="1"/>
    </row>
    <row r="297" spans="2:8" x14ac:dyDescent="0.25">
      <c r="B297">
        <v>1391.9714372435119</v>
      </c>
      <c r="C297" s="43">
        <f t="shared" si="8"/>
        <v>2783.9428744870238</v>
      </c>
      <c r="D297" s="1">
        <f t="shared" si="9"/>
        <v>2871.9000303522917</v>
      </c>
      <c r="G297" s="1"/>
      <c r="H297" s="1"/>
    </row>
    <row r="298" spans="2:8" x14ac:dyDescent="0.25">
      <c r="B298">
        <v>943.36346663231961</v>
      </c>
      <c r="C298" s="43">
        <f t="shared" si="8"/>
        <v>1886.7269332646392</v>
      </c>
      <c r="D298" s="1">
        <f t="shared" si="9"/>
        <v>1500</v>
      </c>
      <c r="G298" s="1"/>
      <c r="H298" s="1"/>
    </row>
    <row r="299" spans="2:8" x14ac:dyDescent="0.25">
      <c r="B299">
        <v>1292.9188899591391</v>
      </c>
      <c r="C299" s="43">
        <f t="shared" si="8"/>
        <v>2585.8377799182781</v>
      </c>
      <c r="D299" s="1">
        <f t="shared" si="9"/>
        <v>2525.2161148569867</v>
      </c>
      <c r="G299" s="1"/>
      <c r="H299" s="1"/>
    </row>
    <row r="300" spans="2:8" x14ac:dyDescent="0.25">
      <c r="B300">
        <v>1503.8490739983099</v>
      </c>
      <c r="C300" s="43">
        <f t="shared" si="8"/>
        <v>3007.6981479966198</v>
      </c>
      <c r="D300" s="1">
        <f t="shared" si="9"/>
        <v>3263.4717589940847</v>
      </c>
      <c r="G300" s="1"/>
      <c r="H300" s="1"/>
    </row>
    <row r="301" spans="2:8" x14ac:dyDescent="0.25">
      <c r="B301">
        <v>857.62934602945461</v>
      </c>
      <c r="C301" s="43">
        <f t="shared" si="8"/>
        <v>1715.2586920589092</v>
      </c>
      <c r="D301" s="1">
        <f t="shared" si="9"/>
        <v>1500</v>
      </c>
      <c r="G301" s="1"/>
      <c r="H301" s="1"/>
    </row>
    <row r="302" spans="2:8" x14ac:dyDescent="0.25">
      <c r="B302">
        <v>1311.612846421951</v>
      </c>
      <c r="C302" s="43">
        <f t="shared" si="8"/>
        <v>2623.2256928439019</v>
      </c>
      <c r="D302" s="1">
        <f t="shared" si="9"/>
        <v>2590.6449624768284</v>
      </c>
      <c r="G302" s="1"/>
      <c r="H302" s="1"/>
    </row>
    <row r="303" spans="2:8" x14ac:dyDescent="0.25">
      <c r="B303">
        <v>1662.4074858385138</v>
      </c>
      <c r="C303" s="43">
        <f t="shared" si="8"/>
        <v>3324.8149716770276</v>
      </c>
      <c r="D303" s="1">
        <f t="shared" si="9"/>
        <v>3818.4262004347984</v>
      </c>
      <c r="G303" s="1"/>
      <c r="H303" s="1"/>
    </row>
    <row r="304" spans="2:8" x14ac:dyDescent="0.25">
      <c r="B304">
        <v>1156.1612843991606</v>
      </c>
      <c r="C304" s="43">
        <f t="shared" si="8"/>
        <v>2312.3225687983213</v>
      </c>
      <c r="D304" s="1">
        <f t="shared" si="9"/>
        <v>2046.5644953970623</v>
      </c>
      <c r="G304" s="1"/>
      <c r="H304" s="1"/>
    </row>
    <row r="305" spans="2:8" x14ac:dyDescent="0.25">
      <c r="B305">
        <v>1430.5650059043837</v>
      </c>
      <c r="C305" s="43">
        <f t="shared" si="8"/>
        <v>2861.1300118087674</v>
      </c>
      <c r="D305" s="1">
        <f t="shared" si="9"/>
        <v>3006.977520665343</v>
      </c>
      <c r="G305" s="1"/>
      <c r="H305" s="1"/>
    </row>
    <row r="306" spans="2:8" x14ac:dyDescent="0.25">
      <c r="B306">
        <v>882.81639207826811</v>
      </c>
      <c r="C306" s="43">
        <f t="shared" si="8"/>
        <v>1765.6327841565362</v>
      </c>
      <c r="D306" s="1">
        <f t="shared" si="9"/>
        <v>1500</v>
      </c>
      <c r="G306" s="1"/>
      <c r="H306" s="1"/>
    </row>
    <row r="307" spans="2:8" x14ac:dyDescent="0.25">
      <c r="B307">
        <v>929.95149046265578</v>
      </c>
      <c r="C307" s="43">
        <f t="shared" si="8"/>
        <v>1859.9029809253116</v>
      </c>
      <c r="D307" s="1">
        <f t="shared" si="9"/>
        <v>1500</v>
      </c>
      <c r="G307" s="1"/>
      <c r="H307" s="1"/>
    </row>
    <row r="308" spans="2:8" x14ac:dyDescent="0.25">
      <c r="B308">
        <v>1506.4961469591362</v>
      </c>
      <c r="C308" s="43">
        <f t="shared" si="8"/>
        <v>3012.9922939182725</v>
      </c>
      <c r="D308" s="1">
        <f t="shared" si="9"/>
        <v>3272.7365143569768</v>
      </c>
      <c r="G308" s="1"/>
      <c r="H308" s="1"/>
    </row>
    <row r="309" spans="2:8" x14ac:dyDescent="0.25">
      <c r="B309">
        <v>1503.0176162156858</v>
      </c>
      <c r="C309" s="43">
        <f t="shared" si="8"/>
        <v>3006.0352324313717</v>
      </c>
      <c r="D309" s="1">
        <f t="shared" si="9"/>
        <v>3260.5616567549005</v>
      </c>
      <c r="G309" s="1"/>
      <c r="H309" s="1"/>
    </row>
    <row r="310" spans="2:8" x14ac:dyDescent="0.25">
      <c r="B310">
        <v>902.11988847960311</v>
      </c>
      <c r="C310" s="43">
        <f t="shared" si="8"/>
        <v>1804.2397769592062</v>
      </c>
      <c r="D310" s="1">
        <f t="shared" si="9"/>
        <v>1500</v>
      </c>
      <c r="G310" s="1"/>
      <c r="H310" s="1"/>
    </row>
    <row r="311" spans="2:8" x14ac:dyDescent="0.25">
      <c r="B311">
        <v>536.25790840788977</v>
      </c>
      <c r="C311" s="43">
        <f t="shared" si="8"/>
        <v>1072.5158168157795</v>
      </c>
      <c r="D311" s="1">
        <f t="shared" si="9"/>
        <v>1500</v>
      </c>
      <c r="G311" s="1"/>
      <c r="H311" s="1"/>
    </row>
    <row r="312" spans="2:8" x14ac:dyDescent="0.25">
      <c r="B312">
        <v>643.09058487316361</v>
      </c>
      <c r="C312" s="43">
        <f t="shared" si="8"/>
        <v>1286.1811697463272</v>
      </c>
      <c r="D312" s="1">
        <f t="shared" si="9"/>
        <v>1500</v>
      </c>
      <c r="G312" s="1"/>
      <c r="H312" s="1"/>
    </row>
    <row r="313" spans="2:8" x14ac:dyDescent="0.25">
      <c r="B313">
        <v>1144.608132364112</v>
      </c>
      <c r="C313" s="43">
        <f t="shared" si="8"/>
        <v>2289.2162647282239</v>
      </c>
      <c r="D313" s="1">
        <f t="shared" si="9"/>
        <v>2006.1284632743918</v>
      </c>
      <c r="G313" s="1"/>
      <c r="H313" s="1"/>
    </row>
    <row r="314" spans="2:8" x14ac:dyDescent="0.25">
      <c r="B314">
        <v>1584.9753579289536</v>
      </c>
      <c r="C314" s="43">
        <f t="shared" si="8"/>
        <v>3169.9507158579072</v>
      </c>
      <c r="D314" s="1">
        <f t="shared" si="9"/>
        <v>3547.4137527513376</v>
      </c>
      <c r="G314" s="1"/>
      <c r="H314" s="1"/>
    </row>
    <row r="315" spans="2:8" x14ac:dyDescent="0.25">
      <c r="B315">
        <v>1278.1942844242731</v>
      </c>
      <c r="C315" s="43">
        <f t="shared" si="8"/>
        <v>2556.3885688485461</v>
      </c>
      <c r="D315" s="1">
        <f t="shared" si="9"/>
        <v>2473.6799954849557</v>
      </c>
      <c r="G315" s="1"/>
      <c r="H315" s="1"/>
    </row>
    <row r="316" spans="2:8" x14ac:dyDescent="0.25">
      <c r="B316">
        <v>1411.0609863849386</v>
      </c>
      <c r="C316" s="43">
        <f t="shared" si="8"/>
        <v>2822.1219727698772</v>
      </c>
      <c r="D316" s="1">
        <f t="shared" si="9"/>
        <v>2938.7134523472851</v>
      </c>
      <c r="G316" s="1"/>
      <c r="H316" s="1"/>
    </row>
    <row r="317" spans="2:8" x14ac:dyDescent="0.25">
      <c r="B317">
        <v>1015.2677846520528</v>
      </c>
      <c r="C317" s="43">
        <f t="shared" si="8"/>
        <v>2030.5355693041056</v>
      </c>
      <c r="D317" s="1">
        <f t="shared" si="9"/>
        <v>1553.4372462821848</v>
      </c>
      <c r="G317" s="1"/>
      <c r="H317" s="1"/>
    </row>
    <row r="318" spans="2:8" x14ac:dyDescent="0.25">
      <c r="B318">
        <v>1248.287813524541</v>
      </c>
      <c r="C318" s="43">
        <f t="shared" si="8"/>
        <v>2496.575627049082</v>
      </c>
      <c r="D318" s="1">
        <f t="shared" si="9"/>
        <v>2369.0073473358934</v>
      </c>
      <c r="G318" s="1"/>
      <c r="H318" s="1"/>
    </row>
    <row r="319" spans="2:8" x14ac:dyDescent="0.25">
      <c r="B319">
        <v>1044.71531770406</v>
      </c>
      <c r="C319" s="43">
        <f t="shared" si="8"/>
        <v>2089.43063540812</v>
      </c>
      <c r="D319" s="1">
        <f t="shared" si="9"/>
        <v>1656.50361196421</v>
      </c>
      <c r="G319" s="1"/>
      <c r="H319" s="1"/>
    </row>
    <row r="320" spans="2:8" x14ac:dyDescent="0.25">
      <c r="B320">
        <v>1882.5466311512282</v>
      </c>
      <c r="C320" s="43">
        <f t="shared" si="8"/>
        <v>3765.0932623024564</v>
      </c>
      <c r="D320" s="1">
        <f t="shared" si="9"/>
        <v>4588.9132090292987</v>
      </c>
      <c r="G320" s="1"/>
      <c r="H320" s="1"/>
    </row>
    <row r="321" spans="2:8" x14ac:dyDescent="0.25">
      <c r="B321">
        <v>1100.9377210769453</v>
      </c>
      <c r="C321" s="43">
        <f t="shared" si="8"/>
        <v>2201.8754421538906</v>
      </c>
      <c r="D321" s="1">
        <f t="shared" si="9"/>
        <v>1853.2820237693086</v>
      </c>
      <c r="G321" s="1"/>
      <c r="H321" s="1"/>
    </row>
    <row r="322" spans="2:8" x14ac:dyDescent="0.25">
      <c r="B322">
        <v>1614.0747023030708</v>
      </c>
      <c r="C322" s="43">
        <f t="shared" si="8"/>
        <v>3228.1494046061416</v>
      </c>
      <c r="D322" s="1">
        <f t="shared" si="9"/>
        <v>3649.2614580607478</v>
      </c>
      <c r="G322" s="1"/>
      <c r="H322" s="1"/>
    </row>
    <row r="323" spans="2:8" x14ac:dyDescent="0.25">
      <c r="B323">
        <v>1474.1716525180091</v>
      </c>
      <c r="C323" s="43">
        <f t="shared" si="8"/>
        <v>2948.3433050360181</v>
      </c>
      <c r="D323" s="1">
        <f t="shared" si="9"/>
        <v>3159.6007838130317</v>
      </c>
      <c r="G323" s="1"/>
      <c r="H323" s="1"/>
    </row>
    <row r="324" spans="2:8" x14ac:dyDescent="0.25">
      <c r="B324">
        <v>708.2874465425557</v>
      </c>
      <c r="C324" s="43">
        <f t="shared" si="8"/>
        <v>1416.5748930851114</v>
      </c>
      <c r="D324" s="1">
        <f t="shared" si="9"/>
        <v>1500</v>
      </c>
      <c r="G324" s="1"/>
      <c r="H324" s="1"/>
    </row>
    <row r="325" spans="2:8" x14ac:dyDescent="0.25">
      <c r="B325">
        <v>845.67640627147921</v>
      </c>
      <c r="C325" s="43">
        <f t="shared" si="8"/>
        <v>1691.3528125429584</v>
      </c>
      <c r="D325" s="1">
        <f t="shared" si="9"/>
        <v>1500</v>
      </c>
      <c r="G325" s="1"/>
      <c r="H325" s="1"/>
    </row>
    <row r="326" spans="2:8" x14ac:dyDescent="0.25">
      <c r="B326">
        <v>1668.7873092280934</v>
      </c>
      <c r="C326" s="43">
        <f t="shared" si="8"/>
        <v>3337.5746184561867</v>
      </c>
      <c r="D326" s="1">
        <f t="shared" si="9"/>
        <v>3840.7555822983268</v>
      </c>
      <c r="G326" s="1"/>
      <c r="H326" s="1"/>
    </row>
    <row r="327" spans="2:8" x14ac:dyDescent="0.25">
      <c r="B327">
        <v>1002.8869503742608</v>
      </c>
      <c r="C327" s="43">
        <f t="shared" si="8"/>
        <v>2005.7739007485216</v>
      </c>
      <c r="D327" s="1">
        <f t="shared" si="9"/>
        <v>1510.1043263099127</v>
      </c>
      <c r="G327" s="1"/>
      <c r="H327" s="1"/>
    </row>
    <row r="328" spans="2:8" x14ac:dyDescent="0.25">
      <c r="B328">
        <v>936.26545165653806</v>
      </c>
      <c r="C328" s="43">
        <f t="shared" si="8"/>
        <v>1872.5309033130761</v>
      </c>
      <c r="D328" s="1">
        <f t="shared" si="9"/>
        <v>1500</v>
      </c>
      <c r="G328" s="1"/>
      <c r="H328" s="1"/>
    </row>
    <row r="329" spans="2:8" x14ac:dyDescent="0.25">
      <c r="B329">
        <v>1146.669157634562</v>
      </c>
      <c r="C329" s="43">
        <f t="shared" si="8"/>
        <v>2293.338315269124</v>
      </c>
      <c r="D329" s="1">
        <f t="shared" si="9"/>
        <v>2013.342051720967</v>
      </c>
      <c r="G329" s="1"/>
      <c r="H329" s="1"/>
    </row>
    <row r="330" spans="2:8" x14ac:dyDescent="0.25">
      <c r="B330">
        <v>701.45120233183843</v>
      </c>
      <c r="C330" s="43">
        <f t="shared" si="8"/>
        <v>1402.9024046636769</v>
      </c>
      <c r="D330" s="1">
        <f t="shared" si="9"/>
        <v>1500</v>
      </c>
      <c r="G330" s="1"/>
      <c r="H330" s="1"/>
    </row>
    <row r="331" spans="2:8" x14ac:dyDescent="0.25">
      <c r="B331">
        <v>444.46866084518842</v>
      </c>
      <c r="C331" s="43">
        <f t="shared" si="8"/>
        <v>888.93732169037685</v>
      </c>
      <c r="D331" s="1">
        <f t="shared" si="9"/>
        <v>1500</v>
      </c>
      <c r="G331" s="1"/>
      <c r="H331" s="1"/>
    </row>
    <row r="332" spans="2:8" x14ac:dyDescent="0.25">
      <c r="B332">
        <v>466.08152914023958</v>
      </c>
      <c r="C332" s="43">
        <f t="shared" si="8"/>
        <v>932.16305828047916</v>
      </c>
      <c r="D332" s="1">
        <f t="shared" si="9"/>
        <v>1500</v>
      </c>
      <c r="G332" s="1"/>
      <c r="H332" s="1"/>
    </row>
    <row r="333" spans="2:8" x14ac:dyDescent="0.25">
      <c r="B333">
        <v>1100.5693961863581</v>
      </c>
      <c r="C333" s="43">
        <f t="shared" si="8"/>
        <v>2201.1387923727161</v>
      </c>
      <c r="D333" s="1">
        <f t="shared" si="9"/>
        <v>1851.9928866522532</v>
      </c>
      <c r="G333" s="1"/>
      <c r="H333" s="1"/>
    </row>
    <row r="334" spans="2:8" x14ac:dyDescent="0.25">
      <c r="B334">
        <v>1047.5377435171249</v>
      </c>
      <c r="C334" s="43">
        <f t="shared" si="8"/>
        <v>2095.0754870342498</v>
      </c>
      <c r="D334" s="1">
        <f t="shared" si="9"/>
        <v>1666.3821023099372</v>
      </c>
      <c r="G334" s="1"/>
      <c r="H334" s="1"/>
    </row>
    <row r="335" spans="2:8" x14ac:dyDescent="0.25">
      <c r="B335">
        <v>1436.961609471211</v>
      </c>
      <c r="C335" s="43">
        <f t="shared" si="8"/>
        <v>2873.923218942422</v>
      </c>
      <c r="D335" s="1">
        <f t="shared" si="9"/>
        <v>3029.3656331492384</v>
      </c>
      <c r="G335" s="1"/>
      <c r="H335" s="1"/>
    </row>
    <row r="336" spans="2:8" x14ac:dyDescent="0.25">
      <c r="B336">
        <v>1476.6215583961748</v>
      </c>
      <c r="C336" s="43">
        <f t="shared" si="8"/>
        <v>2953.2431167923496</v>
      </c>
      <c r="D336" s="1">
        <f t="shared" si="9"/>
        <v>3168.1754543866118</v>
      </c>
      <c r="G336" s="1"/>
      <c r="H336" s="1"/>
    </row>
    <row r="337" spans="2:8" x14ac:dyDescent="0.25">
      <c r="B337">
        <v>692.89247292664368</v>
      </c>
      <c r="C337" s="43">
        <f t="shared" si="8"/>
        <v>1385.7849458532874</v>
      </c>
      <c r="D337" s="1">
        <f t="shared" si="9"/>
        <v>1500</v>
      </c>
      <c r="G337" s="1"/>
      <c r="H337" s="1"/>
    </row>
    <row r="338" spans="2:8" x14ac:dyDescent="0.25">
      <c r="B338">
        <v>1346.9955281664734</v>
      </c>
      <c r="C338" s="43">
        <f t="shared" ref="C338:C401" si="10">B338*2</f>
        <v>2693.9910563329468</v>
      </c>
      <c r="D338" s="1">
        <f t="shared" ref="D338:D401" si="11">IF(B338&lt;=1000,1500,1500+(B338-1000)*3.5)</f>
        <v>2714.4843485826568</v>
      </c>
      <c r="G338" s="1"/>
      <c r="H338" s="1"/>
    </row>
    <row r="339" spans="2:8" x14ac:dyDescent="0.25">
      <c r="B339">
        <v>660.77017962135142</v>
      </c>
      <c r="C339" s="43">
        <f t="shared" si="10"/>
        <v>1321.5403592427028</v>
      </c>
      <c r="D339" s="1">
        <f t="shared" si="11"/>
        <v>1500</v>
      </c>
      <c r="G339" s="1"/>
      <c r="H339" s="1"/>
    </row>
    <row r="340" spans="2:8" x14ac:dyDescent="0.25">
      <c r="B340">
        <v>302.95807007979602</v>
      </c>
      <c r="C340" s="43">
        <f t="shared" si="10"/>
        <v>605.91614015959203</v>
      </c>
      <c r="D340" s="1">
        <f t="shared" si="11"/>
        <v>1500</v>
      </c>
      <c r="G340" s="1"/>
      <c r="H340" s="1"/>
    </row>
    <row r="341" spans="2:8" x14ac:dyDescent="0.25">
      <c r="B341">
        <v>1353.5674845855392</v>
      </c>
      <c r="C341" s="43">
        <f t="shared" si="10"/>
        <v>2707.1349691710784</v>
      </c>
      <c r="D341" s="1">
        <f t="shared" si="11"/>
        <v>2737.4861960493872</v>
      </c>
      <c r="G341" s="1"/>
      <c r="H341" s="1"/>
    </row>
    <row r="342" spans="2:8" x14ac:dyDescent="0.25">
      <c r="B342">
        <v>1487.3726179587829</v>
      </c>
      <c r="C342" s="43">
        <f t="shared" si="10"/>
        <v>2974.7452359175659</v>
      </c>
      <c r="D342" s="1">
        <f t="shared" si="11"/>
        <v>3205.8041628557403</v>
      </c>
      <c r="G342" s="1"/>
      <c r="H342" s="1"/>
    </row>
    <row r="343" spans="2:8" x14ac:dyDescent="0.25">
      <c r="B343">
        <v>1176.5806625874684</v>
      </c>
      <c r="C343" s="43">
        <f t="shared" si="10"/>
        <v>2353.1613251749368</v>
      </c>
      <c r="D343" s="1">
        <f t="shared" si="11"/>
        <v>2118.0323190561394</v>
      </c>
      <c r="G343" s="1"/>
      <c r="H343" s="1"/>
    </row>
    <row r="344" spans="2:8" x14ac:dyDescent="0.25">
      <c r="B344">
        <v>1193.8067730455368</v>
      </c>
      <c r="C344" s="43">
        <f t="shared" si="10"/>
        <v>2387.6135460910737</v>
      </c>
      <c r="D344" s="1">
        <f t="shared" si="11"/>
        <v>2178.3237056593789</v>
      </c>
      <c r="G344" s="1"/>
      <c r="H344" s="1"/>
    </row>
    <row r="345" spans="2:8" x14ac:dyDescent="0.25">
      <c r="B345">
        <v>1350.2231952600705</v>
      </c>
      <c r="C345" s="43">
        <f t="shared" si="10"/>
        <v>2700.446390520141</v>
      </c>
      <c r="D345" s="1">
        <f t="shared" si="11"/>
        <v>2725.7811834102467</v>
      </c>
      <c r="G345" s="1"/>
      <c r="H345" s="1"/>
    </row>
    <row r="346" spans="2:8" x14ac:dyDescent="0.25">
      <c r="B346">
        <v>446.59303128474858</v>
      </c>
      <c r="C346" s="43">
        <f t="shared" si="10"/>
        <v>893.18606256949715</v>
      </c>
      <c r="D346" s="1">
        <f t="shared" si="11"/>
        <v>1500</v>
      </c>
      <c r="G346" s="1"/>
      <c r="H346" s="1"/>
    </row>
    <row r="347" spans="2:8" x14ac:dyDescent="0.25">
      <c r="B347">
        <v>1881.0330591634847</v>
      </c>
      <c r="C347" s="43">
        <f t="shared" si="10"/>
        <v>3762.0661183269694</v>
      </c>
      <c r="D347" s="1">
        <f t="shared" si="11"/>
        <v>4583.6157070721965</v>
      </c>
      <c r="G347" s="1"/>
      <c r="H347" s="1"/>
    </row>
    <row r="348" spans="2:8" x14ac:dyDescent="0.25">
      <c r="B348">
        <v>915.88886292021198</v>
      </c>
      <c r="C348" s="43">
        <f t="shared" si="10"/>
        <v>1831.777725840424</v>
      </c>
      <c r="D348" s="1">
        <f t="shared" si="11"/>
        <v>1500</v>
      </c>
      <c r="G348" s="1"/>
      <c r="H348" s="1"/>
    </row>
    <row r="349" spans="2:8" x14ac:dyDescent="0.25">
      <c r="B349">
        <v>646.3895677200635</v>
      </c>
      <c r="C349" s="43">
        <f t="shared" si="10"/>
        <v>1292.779135440127</v>
      </c>
      <c r="D349" s="1">
        <f t="shared" si="11"/>
        <v>1500</v>
      </c>
      <c r="G349" s="1"/>
      <c r="H349" s="1"/>
    </row>
    <row r="350" spans="2:8" x14ac:dyDescent="0.25">
      <c r="B350">
        <v>1281.7848228508519</v>
      </c>
      <c r="C350" s="43">
        <f t="shared" si="10"/>
        <v>2563.5696457017038</v>
      </c>
      <c r="D350" s="1">
        <f t="shared" si="11"/>
        <v>2486.2468799779817</v>
      </c>
      <c r="G350" s="1"/>
      <c r="H350" s="1"/>
    </row>
    <row r="351" spans="2:8" x14ac:dyDescent="0.25">
      <c r="B351">
        <v>468.71937300357968</v>
      </c>
      <c r="C351" s="43">
        <f t="shared" si="10"/>
        <v>937.43874600715935</v>
      </c>
      <c r="D351" s="1">
        <f t="shared" si="11"/>
        <v>1500</v>
      </c>
      <c r="G351" s="1"/>
      <c r="H351" s="1"/>
    </row>
    <row r="352" spans="2:8" x14ac:dyDescent="0.25">
      <c r="B352">
        <v>1578.4394788909703</v>
      </c>
      <c r="C352" s="43">
        <f t="shared" si="10"/>
        <v>3156.8789577819407</v>
      </c>
      <c r="D352" s="1">
        <f t="shared" si="11"/>
        <v>3524.5381761183962</v>
      </c>
      <c r="G352" s="1"/>
      <c r="H352" s="1"/>
    </row>
    <row r="353" spans="2:8" x14ac:dyDescent="0.25">
      <c r="B353">
        <v>915.95640313363401</v>
      </c>
      <c r="C353" s="43">
        <f t="shared" si="10"/>
        <v>1831.912806267268</v>
      </c>
      <c r="D353" s="1">
        <f t="shared" si="11"/>
        <v>1500</v>
      </c>
      <c r="G353" s="1"/>
      <c r="H353" s="1"/>
    </row>
    <row r="354" spans="2:8" x14ac:dyDescent="0.25">
      <c r="B354">
        <v>257.98719505593181</v>
      </c>
      <c r="C354" s="43">
        <f t="shared" si="10"/>
        <v>515.97439011186361</v>
      </c>
      <c r="D354" s="1">
        <f t="shared" si="11"/>
        <v>1500</v>
      </c>
      <c r="G354" s="1"/>
      <c r="H354" s="1"/>
    </row>
    <row r="355" spans="2:8" x14ac:dyDescent="0.25">
      <c r="B355">
        <v>1077.6212452868203</v>
      </c>
      <c r="C355" s="43">
        <f t="shared" si="10"/>
        <v>2155.2424905736407</v>
      </c>
      <c r="D355" s="1">
        <f t="shared" si="11"/>
        <v>1771.6743585038712</v>
      </c>
      <c r="G355" s="1"/>
      <c r="H355" s="1"/>
    </row>
    <row r="356" spans="2:8" x14ac:dyDescent="0.25">
      <c r="B356">
        <v>1362.1782325402019</v>
      </c>
      <c r="C356" s="43">
        <f t="shared" si="10"/>
        <v>2724.3564650804037</v>
      </c>
      <c r="D356" s="1">
        <f t="shared" si="11"/>
        <v>2767.6238138907065</v>
      </c>
      <c r="G356" s="1"/>
      <c r="H356" s="1"/>
    </row>
    <row r="357" spans="2:8" x14ac:dyDescent="0.25">
      <c r="B357">
        <v>865.12840724145644</v>
      </c>
      <c r="C357" s="43">
        <f t="shared" si="10"/>
        <v>1730.2568144829129</v>
      </c>
      <c r="D357" s="1">
        <f t="shared" si="11"/>
        <v>1500</v>
      </c>
      <c r="G357" s="1"/>
      <c r="H357" s="1"/>
    </row>
    <row r="358" spans="2:8" x14ac:dyDescent="0.25">
      <c r="B358">
        <v>1401.6653456395143</v>
      </c>
      <c r="C358" s="43">
        <f t="shared" si="10"/>
        <v>2803.3306912790285</v>
      </c>
      <c r="D358" s="1">
        <f t="shared" si="11"/>
        <v>2905.8287097382999</v>
      </c>
      <c r="G358" s="1"/>
      <c r="H358" s="1"/>
    </row>
    <row r="359" spans="2:8" x14ac:dyDescent="0.25">
      <c r="B359">
        <v>343.65335594094358</v>
      </c>
      <c r="C359" s="43">
        <f t="shared" si="10"/>
        <v>687.30671188188717</v>
      </c>
      <c r="D359" s="1">
        <f t="shared" si="11"/>
        <v>1500</v>
      </c>
      <c r="G359" s="1"/>
      <c r="H359" s="1"/>
    </row>
    <row r="360" spans="2:8" x14ac:dyDescent="0.25">
      <c r="B360">
        <v>963.93260790256318</v>
      </c>
      <c r="C360" s="43">
        <f t="shared" si="10"/>
        <v>1927.8652158051264</v>
      </c>
      <c r="D360" s="1">
        <f t="shared" si="11"/>
        <v>1500</v>
      </c>
      <c r="G360" s="1"/>
      <c r="H360" s="1"/>
    </row>
    <row r="361" spans="2:8" x14ac:dyDescent="0.25">
      <c r="B361">
        <v>1583.9148507268983</v>
      </c>
      <c r="C361" s="43">
        <f t="shared" si="10"/>
        <v>3167.8297014537966</v>
      </c>
      <c r="D361" s="1">
        <f t="shared" si="11"/>
        <v>3543.701977544144</v>
      </c>
      <c r="G361" s="1"/>
      <c r="H361" s="1"/>
    </row>
    <row r="362" spans="2:8" x14ac:dyDescent="0.25">
      <c r="B362">
        <v>903.36288010922726</v>
      </c>
      <c r="C362" s="43">
        <f t="shared" si="10"/>
        <v>1806.7257602184545</v>
      </c>
      <c r="D362" s="1">
        <f t="shared" si="11"/>
        <v>1500</v>
      </c>
      <c r="G362" s="1"/>
      <c r="H362" s="1"/>
    </row>
    <row r="363" spans="2:8" x14ac:dyDescent="0.25">
      <c r="B363">
        <v>1523.4290238198009</v>
      </c>
      <c r="C363" s="43">
        <f t="shared" si="10"/>
        <v>3046.8580476396019</v>
      </c>
      <c r="D363" s="1">
        <f t="shared" si="11"/>
        <v>3332.0015833693033</v>
      </c>
      <c r="G363" s="1"/>
      <c r="H363" s="1"/>
    </row>
    <row r="364" spans="2:8" x14ac:dyDescent="0.25">
      <c r="B364">
        <v>1199.6122948688135</v>
      </c>
      <c r="C364" s="43">
        <f t="shared" si="10"/>
        <v>2399.224589737627</v>
      </c>
      <c r="D364" s="1">
        <f t="shared" si="11"/>
        <v>2198.6430320408472</v>
      </c>
      <c r="G364" s="1"/>
      <c r="H364" s="1"/>
    </row>
    <row r="365" spans="2:8" x14ac:dyDescent="0.25">
      <c r="B365">
        <v>1199.154196029951</v>
      </c>
      <c r="C365" s="43">
        <f t="shared" si="10"/>
        <v>2398.308392059902</v>
      </c>
      <c r="D365" s="1">
        <f t="shared" si="11"/>
        <v>2197.0396861048284</v>
      </c>
      <c r="G365" s="1"/>
      <c r="H365" s="1"/>
    </row>
    <row r="366" spans="2:8" x14ac:dyDescent="0.25">
      <c r="B366">
        <v>1539.0127744297497</v>
      </c>
      <c r="C366" s="43">
        <f t="shared" si="10"/>
        <v>3078.0255488594994</v>
      </c>
      <c r="D366" s="1">
        <f t="shared" si="11"/>
        <v>3386.5447105041239</v>
      </c>
      <c r="G366" s="1"/>
      <c r="H366" s="1"/>
    </row>
    <row r="367" spans="2:8" x14ac:dyDescent="0.25">
      <c r="B367">
        <v>1059.9026366265316</v>
      </c>
      <c r="C367" s="43">
        <f t="shared" si="10"/>
        <v>2119.8052732530632</v>
      </c>
      <c r="D367" s="1">
        <f t="shared" si="11"/>
        <v>1709.6592281928606</v>
      </c>
      <c r="G367" s="1"/>
      <c r="H367" s="1"/>
    </row>
    <row r="368" spans="2:8" x14ac:dyDescent="0.25">
      <c r="B368">
        <v>1802.5353899986949</v>
      </c>
      <c r="C368" s="43">
        <f t="shared" si="10"/>
        <v>3605.0707799973898</v>
      </c>
      <c r="D368" s="1">
        <f t="shared" si="11"/>
        <v>4308.8738649954321</v>
      </c>
      <c r="G368" s="1"/>
      <c r="H368" s="1"/>
    </row>
    <row r="369" spans="2:8" x14ac:dyDescent="0.25">
      <c r="B369">
        <v>1212.1365996620734</v>
      </c>
      <c r="C369" s="43">
        <f t="shared" si="10"/>
        <v>2424.2731993241468</v>
      </c>
      <c r="D369" s="1">
        <f t="shared" si="11"/>
        <v>2242.478098817257</v>
      </c>
      <c r="G369" s="1"/>
      <c r="H369" s="1"/>
    </row>
    <row r="370" spans="2:8" x14ac:dyDescent="0.25">
      <c r="B370">
        <v>1410.726641353278</v>
      </c>
      <c r="C370" s="43">
        <f t="shared" si="10"/>
        <v>2821.4532827065559</v>
      </c>
      <c r="D370" s="1">
        <f t="shared" si="11"/>
        <v>2937.5432447364728</v>
      </c>
      <c r="G370" s="1"/>
      <c r="H370" s="1"/>
    </row>
    <row r="371" spans="2:8" x14ac:dyDescent="0.25">
      <c r="B371">
        <v>749.24953722194186</v>
      </c>
      <c r="C371" s="43">
        <f t="shared" si="10"/>
        <v>1498.4990744438837</v>
      </c>
      <c r="D371" s="1">
        <f t="shared" si="11"/>
        <v>1500</v>
      </c>
      <c r="G371" s="1"/>
      <c r="H371" s="1"/>
    </row>
    <row r="372" spans="2:8" x14ac:dyDescent="0.25">
      <c r="B372">
        <v>1126.116377037135</v>
      </c>
      <c r="C372" s="43">
        <f t="shared" si="10"/>
        <v>2252.2327540742699</v>
      </c>
      <c r="D372" s="1">
        <f t="shared" si="11"/>
        <v>1941.4073196299723</v>
      </c>
      <c r="G372" s="1"/>
      <c r="H372" s="1"/>
    </row>
    <row r="373" spans="2:8" x14ac:dyDescent="0.25">
      <c r="B373">
        <v>1261.7765590051131</v>
      </c>
      <c r="C373" s="43">
        <f t="shared" si="10"/>
        <v>2523.5531180102262</v>
      </c>
      <c r="D373" s="1">
        <f t="shared" si="11"/>
        <v>2416.2179565178958</v>
      </c>
      <c r="G373" s="1"/>
      <c r="H373" s="1"/>
    </row>
    <row r="374" spans="2:8" x14ac:dyDescent="0.25">
      <c r="B374">
        <v>1105.9264677726896</v>
      </c>
      <c r="C374" s="43">
        <f t="shared" si="10"/>
        <v>2211.8529355453793</v>
      </c>
      <c r="D374" s="1">
        <f t="shared" si="11"/>
        <v>1870.7426372044138</v>
      </c>
      <c r="G374" s="1"/>
      <c r="H374" s="1"/>
    </row>
    <row r="375" spans="2:8" x14ac:dyDescent="0.25">
      <c r="B375">
        <v>990.72006335637707</v>
      </c>
      <c r="C375" s="43">
        <f t="shared" si="10"/>
        <v>1981.4401267127541</v>
      </c>
      <c r="D375" s="1">
        <f t="shared" si="11"/>
        <v>1500</v>
      </c>
      <c r="G375" s="1"/>
      <c r="H375" s="1"/>
    </row>
    <row r="376" spans="2:8" x14ac:dyDescent="0.25">
      <c r="B376">
        <v>1154.5784941802704</v>
      </c>
      <c r="C376" s="43">
        <f t="shared" si="10"/>
        <v>2309.1569883605407</v>
      </c>
      <c r="D376" s="1">
        <f t="shared" si="11"/>
        <v>2041.0247296309462</v>
      </c>
      <c r="G376" s="1"/>
      <c r="H376" s="1"/>
    </row>
    <row r="377" spans="2:8" x14ac:dyDescent="0.25">
      <c r="B377">
        <v>820.92019127350068</v>
      </c>
      <c r="C377" s="43">
        <f t="shared" si="10"/>
        <v>1641.8403825470014</v>
      </c>
      <c r="D377" s="1">
        <f t="shared" si="11"/>
        <v>1500</v>
      </c>
      <c r="G377" s="1"/>
      <c r="H377" s="1"/>
    </row>
    <row r="378" spans="2:8" x14ac:dyDescent="0.25">
      <c r="B378">
        <v>807.21707902858907</v>
      </c>
      <c r="C378" s="43">
        <f t="shared" si="10"/>
        <v>1614.4341580571781</v>
      </c>
      <c r="D378" s="1">
        <f t="shared" si="11"/>
        <v>1500</v>
      </c>
      <c r="G378" s="1"/>
      <c r="H378" s="1"/>
    </row>
    <row r="379" spans="2:8" x14ac:dyDescent="0.25">
      <c r="B379">
        <v>1486.045305938489</v>
      </c>
      <c r="C379" s="43">
        <f t="shared" si="10"/>
        <v>2972.0906118769781</v>
      </c>
      <c r="D379" s="1">
        <f t="shared" si="11"/>
        <v>3201.1585707847116</v>
      </c>
      <c r="G379" s="1"/>
      <c r="H379" s="1"/>
    </row>
    <row r="380" spans="2:8" x14ac:dyDescent="0.25">
      <c r="B380">
        <v>1179.5629195888177</v>
      </c>
      <c r="C380" s="43">
        <f t="shared" si="10"/>
        <v>2359.1258391776355</v>
      </c>
      <c r="D380" s="1">
        <f t="shared" si="11"/>
        <v>2128.4702185608621</v>
      </c>
      <c r="G380" s="1"/>
      <c r="H380" s="1"/>
    </row>
    <row r="381" spans="2:8" x14ac:dyDescent="0.25">
      <c r="B381">
        <v>1154.1543752003345</v>
      </c>
      <c r="C381" s="43">
        <f t="shared" si="10"/>
        <v>2308.3087504006689</v>
      </c>
      <c r="D381" s="1">
        <f t="shared" si="11"/>
        <v>2039.5403132011706</v>
      </c>
      <c r="G381" s="1"/>
      <c r="H381" s="1"/>
    </row>
    <row r="382" spans="2:8" x14ac:dyDescent="0.25">
      <c r="B382">
        <v>1174.5372565031284</v>
      </c>
      <c r="C382" s="43">
        <f t="shared" si="10"/>
        <v>2349.0745130062569</v>
      </c>
      <c r="D382" s="1">
        <f t="shared" si="11"/>
        <v>2110.8803977609496</v>
      </c>
      <c r="G382" s="1"/>
      <c r="H382" s="1"/>
    </row>
    <row r="383" spans="2:8" x14ac:dyDescent="0.25">
      <c r="B383">
        <v>820.26828138742712</v>
      </c>
      <c r="C383" s="43">
        <f t="shared" si="10"/>
        <v>1640.5365627748542</v>
      </c>
      <c r="D383" s="1">
        <f t="shared" si="11"/>
        <v>1500</v>
      </c>
      <c r="G383" s="1"/>
      <c r="H383" s="1"/>
    </row>
    <row r="384" spans="2:8" x14ac:dyDescent="0.25">
      <c r="B384">
        <v>1733.741697336256</v>
      </c>
      <c r="C384" s="43">
        <f t="shared" si="10"/>
        <v>3467.4833946725121</v>
      </c>
      <c r="D384" s="1">
        <f t="shared" si="11"/>
        <v>4068.0959406768961</v>
      </c>
      <c r="G384" s="1"/>
      <c r="H384" s="1"/>
    </row>
    <row r="385" spans="2:8" x14ac:dyDescent="0.25">
      <c r="B385">
        <v>1051.2541332730616</v>
      </c>
      <c r="C385" s="43">
        <f t="shared" si="10"/>
        <v>2102.5082665461232</v>
      </c>
      <c r="D385" s="1">
        <f t="shared" si="11"/>
        <v>1679.3894664557156</v>
      </c>
      <c r="G385" s="1"/>
      <c r="H385" s="1"/>
    </row>
    <row r="386" spans="2:8" x14ac:dyDescent="0.25">
      <c r="B386">
        <v>1424.63740829163</v>
      </c>
      <c r="C386" s="43">
        <f t="shared" si="10"/>
        <v>2849.27481658326</v>
      </c>
      <c r="D386" s="1">
        <f t="shared" si="11"/>
        <v>2986.2309290207049</v>
      </c>
      <c r="G386" s="1"/>
      <c r="H386" s="1"/>
    </row>
    <row r="387" spans="2:8" x14ac:dyDescent="0.25">
      <c r="B387">
        <v>786.71631698062993</v>
      </c>
      <c r="C387" s="43">
        <f t="shared" si="10"/>
        <v>1573.4326339612599</v>
      </c>
      <c r="D387" s="1">
        <f t="shared" si="11"/>
        <v>1500</v>
      </c>
      <c r="G387" s="1"/>
      <c r="H387" s="1"/>
    </row>
    <row r="388" spans="2:8" x14ac:dyDescent="0.25">
      <c r="B388">
        <v>1251.926594960707</v>
      </c>
      <c r="C388" s="43">
        <f t="shared" si="10"/>
        <v>2503.853189921414</v>
      </c>
      <c r="D388" s="1">
        <f t="shared" si="11"/>
        <v>2381.7430823624745</v>
      </c>
      <c r="G388" s="1"/>
      <c r="H388" s="1"/>
    </row>
    <row r="389" spans="2:8" x14ac:dyDescent="0.25">
      <c r="B389">
        <v>1098.6682021041925</v>
      </c>
      <c r="C389" s="43">
        <f t="shared" si="10"/>
        <v>2197.3364042083849</v>
      </c>
      <c r="D389" s="1">
        <f t="shared" si="11"/>
        <v>1845.3387073646736</v>
      </c>
      <c r="G389" s="1"/>
      <c r="H389" s="1"/>
    </row>
    <row r="390" spans="2:8" x14ac:dyDescent="0.25">
      <c r="B390">
        <v>1383.4731164764089</v>
      </c>
      <c r="C390" s="43">
        <f t="shared" si="10"/>
        <v>2766.9462329528178</v>
      </c>
      <c r="D390" s="1">
        <f t="shared" si="11"/>
        <v>2842.1559076674312</v>
      </c>
      <c r="G390" s="1"/>
      <c r="H390" s="1"/>
    </row>
    <row r="391" spans="2:8" x14ac:dyDescent="0.25">
      <c r="B391">
        <v>1579.4806888891908</v>
      </c>
      <c r="C391" s="43">
        <f t="shared" si="10"/>
        <v>3158.9613777783816</v>
      </c>
      <c r="D391" s="1">
        <f t="shared" si="11"/>
        <v>3528.1824111121678</v>
      </c>
      <c r="G391" s="1"/>
      <c r="H391" s="1"/>
    </row>
    <row r="392" spans="2:8" x14ac:dyDescent="0.25">
      <c r="B392">
        <v>1398.4259324218438</v>
      </c>
      <c r="C392" s="43">
        <f t="shared" si="10"/>
        <v>2796.8518648436875</v>
      </c>
      <c r="D392" s="1">
        <f t="shared" si="11"/>
        <v>2894.4907634764531</v>
      </c>
      <c r="G392" s="1"/>
      <c r="H392" s="1"/>
    </row>
    <row r="393" spans="2:8" x14ac:dyDescent="0.25">
      <c r="B393">
        <v>1557.2335298941762</v>
      </c>
      <c r="C393" s="43">
        <f t="shared" si="10"/>
        <v>3114.4670597883523</v>
      </c>
      <c r="D393" s="1">
        <f t="shared" si="11"/>
        <v>3450.3173546296166</v>
      </c>
      <c r="G393" s="1"/>
      <c r="H393" s="1"/>
    </row>
    <row r="394" spans="2:8" x14ac:dyDescent="0.25">
      <c r="B394">
        <v>382.08667390909977</v>
      </c>
      <c r="C394" s="43">
        <f t="shared" si="10"/>
        <v>764.17334781819955</v>
      </c>
      <c r="D394" s="1">
        <f t="shared" si="11"/>
        <v>1500</v>
      </c>
      <c r="G394" s="1"/>
      <c r="H394" s="1"/>
    </row>
    <row r="395" spans="2:8" x14ac:dyDescent="0.25">
      <c r="B395">
        <v>1153.9001555150317</v>
      </c>
      <c r="C395" s="43">
        <f t="shared" si="10"/>
        <v>2307.8003110300633</v>
      </c>
      <c r="D395" s="1">
        <f t="shared" si="11"/>
        <v>2038.6505443026108</v>
      </c>
      <c r="G395" s="1"/>
      <c r="H395" s="1"/>
    </row>
    <row r="396" spans="2:8" x14ac:dyDescent="0.25">
      <c r="B396">
        <v>1159.7803491270606</v>
      </c>
      <c r="C396" s="43">
        <f t="shared" si="10"/>
        <v>2319.5606982541212</v>
      </c>
      <c r="D396" s="1">
        <f t="shared" si="11"/>
        <v>2059.2312219447122</v>
      </c>
      <c r="G396" s="1"/>
      <c r="H396" s="1"/>
    </row>
    <row r="397" spans="2:8" x14ac:dyDescent="0.25">
      <c r="B397">
        <v>1169.0648211982189</v>
      </c>
      <c r="C397" s="43">
        <f t="shared" si="10"/>
        <v>2338.1296423964377</v>
      </c>
      <c r="D397" s="1">
        <f t="shared" si="11"/>
        <v>2091.726874193766</v>
      </c>
      <c r="G397" s="1"/>
      <c r="H397" s="1"/>
    </row>
    <row r="398" spans="2:8" x14ac:dyDescent="0.25">
      <c r="B398">
        <v>975.66279080757522</v>
      </c>
      <c r="C398" s="43">
        <f t="shared" si="10"/>
        <v>1951.3255816151504</v>
      </c>
      <c r="D398" s="1">
        <f t="shared" si="11"/>
        <v>1500</v>
      </c>
      <c r="G398" s="1"/>
      <c r="H398" s="1"/>
    </row>
    <row r="399" spans="2:8" x14ac:dyDescent="0.25">
      <c r="B399">
        <v>854.61227016031626</v>
      </c>
      <c r="C399" s="43">
        <f t="shared" si="10"/>
        <v>1709.2245403206325</v>
      </c>
      <c r="D399" s="1">
        <f t="shared" si="11"/>
        <v>1500</v>
      </c>
      <c r="G399" s="1"/>
      <c r="H399" s="1"/>
    </row>
    <row r="400" spans="2:8" x14ac:dyDescent="0.25">
      <c r="B400">
        <v>1682.9699150378583</v>
      </c>
      <c r="C400" s="43">
        <f t="shared" si="10"/>
        <v>3365.9398300757166</v>
      </c>
      <c r="D400" s="1">
        <f t="shared" si="11"/>
        <v>3890.394702632504</v>
      </c>
      <c r="G400" s="1"/>
      <c r="H400" s="1"/>
    </row>
    <row r="401" spans="2:8" x14ac:dyDescent="0.25">
      <c r="B401">
        <v>1131.0858265290444</v>
      </c>
      <c r="C401" s="43">
        <f t="shared" si="10"/>
        <v>2262.1716530580889</v>
      </c>
      <c r="D401" s="1">
        <f t="shared" si="11"/>
        <v>1958.8003928516555</v>
      </c>
      <c r="G401" s="1"/>
      <c r="H401" s="1"/>
    </row>
    <row r="402" spans="2:8" x14ac:dyDescent="0.25">
      <c r="B402">
        <v>1372.6759114263696</v>
      </c>
      <c r="C402" s="43">
        <f t="shared" ref="C402:C465" si="12">B402*2</f>
        <v>2745.3518228527391</v>
      </c>
      <c r="D402" s="1">
        <f t="shared" ref="D402:D465" si="13">IF(B402&lt;=1000,1500,1500+(B402-1000)*3.5)</f>
        <v>2804.3656899922935</v>
      </c>
      <c r="G402" s="1"/>
      <c r="H402" s="1"/>
    </row>
    <row r="403" spans="2:8" x14ac:dyDescent="0.25">
      <c r="B403">
        <v>1333.5256603853049</v>
      </c>
      <c r="C403" s="43">
        <f t="shared" si="12"/>
        <v>2667.0513207706099</v>
      </c>
      <c r="D403" s="1">
        <f t="shared" si="13"/>
        <v>2667.3398113485673</v>
      </c>
      <c r="G403" s="1"/>
      <c r="H403" s="1"/>
    </row>
    <row r="404" spans="2:8" x14ac:dyDescent="0.25">
      <c r="B404">
        <v>1339.4385753429669</v>
      </c>
      <c r="C404" s="43">
        <f t="shared" si="12"/>
        <v>2678.8771506859339</v>
      </c>
      <c r="D404" s="1">
        <f t="shared" si="13"/>
        <v>2688.0350137003843</v>
      </c>
      <c r="G404" s="1"/>
      <c r="H404" s="1"/>
    </row>
    <row r="405" spans="2:8" x14ac:dyDescent="0.25">
      <c r="B405">
        <v>1145.51132540447</v>
      </c>
      <c r="C405" s="43">
        <f t="shared" si="12"/>
        <v>2291.0226508089399</v>
      </c>
      <c r="D405" s="1">
        <f t="shared" si="13"/>
        <v>2009.2896389156449</v>
      </c>
      <c r="G405" s="1"/>
      <c r="H405" s="1"/>
    </row>
    <row r="406" spans="2:8" x14ac:dyDescent="0.25">
      <c r="B406">
        <v>1244.7182503195218</v>
      </c>
      <c r="C406" s="43">
        <f t="shared" si="12"/>
        <v>2489.4365006390435</v>
      </c>
      <c r="D406" s="1">
        <f t="shared" si="13"/>
        <v>2356.5138761183262</v>
      </c>
      <c r="G406" s="1"/>
      <c r="H406" s="1"/>
    </row>
    <row r="407" spans="2:8" x14ac:dyDescent="0.25">
      <c r="B407">
        <v>1036.0974381740671</v>
      </c>
      <c r="C407" s="43">
        <f t="shared" si="12"/>
        <v>2072.1948763481341</v>
      </c>
      <c r="D407" s="1">
        <f t="shared" si="13"/>
        <v>1626.3410336092347</v>
      </c>
      <c r="G407" s="1"/>
      <c r="H407" s="1"/>
    </row>
    <row r="408" spans="2:8" x14ac:dyDescent="0.25">
      <c r="B408">
        <v>1063.5053406816151</v>
      </c>
      <c r="C408" s="43">
        <f t="shared" si="12"/>
        <v>2127.0106813632301</v>
      </c>
      <c r="D408" s="1">
        <f t="shared" si="13"/>
        <v>1722.2686923856527</v>
      </c>
      <c r="G408" s="1"/>
      <c r="H408" s="1"/>
    </row>
    <row r="409" spans="2:8" x14ac:dyDescent="0.25">
      <c r="B409">
        <v>1473.4870212863025</v>
      </c>
      <c r="C409" s="43">
        <f t="shared" si="12"/>
        <v>2946.974042572605</v>
      </c>
      <c r="D409" s="1">
        <f t="shared" si="13"/>
        <v>3157.2045745020587</v>
      </c>
      <c r="G409" s="1"/>
      <c r="H409" s="1"/>
    </row>
    <row r="410" spans="2:8" x14ac:dyDescent="0.25">
      <c r="B410">
        <v>1821.956767145195</v>
      </c>
      <c r="C410" s="43">
        <f t="shared" si="12"/>
        <v>3643.9135342903901</v>
      </c>
      <c r="D410" s="1">
        <f t="shared" si="13"/>
        <v>4376.8486850081827</v>
      </c>
      <c r="G410" s="1"/>
      <c r="H410" s="1"/>
    </row>
    <row r="411" spans="2:8" x14ac:dyDescent="0.25">
      <c r="B411">
        <v>1232.3458061303536</v>
      </c>
      <c r="C411" s="43">
        <f t="shared" si="12"/>
        <v>2464.6916122607072</v>
      </c>
      <c r="D411" s="1">
        <f t="shared" si="13"/>
        <v>2313.2103214562376</v>
      </c>
      <c r="G411" s="1"/>
      <c r="H411" s="1"/>
    </row>
    <row r="412" spans="2:8" x14ac:dyDescent="0.25">
      <c r="B412">
        <v>1254.2401618987351</v>
      </c>
      <c r="C412" s="43">
        <f t="shared" si="12"/>
        <v>2508.4803237974702</v>
      </c>
      <c r="D412" s="1">
        <f t="shared" si="13"/>
        <v>2389.8405666455728</v>
      </c>
      <c r="G412" s="1"/>
      <c r="H412" s="1"/>
    </row>
    <row r="413" spans="2:8" x14ac:dyDescent="0.25">
      <c r="B413">
        <v>1425.6710672100889</v>
      </c>
      <c r="C413" s="43">
        <f t="shared" si="12"/>
        <v>2851.3421344201779</v>
      </c>
      <c r="D413" s="1">
        <f t="shared" si="13"/>
        <v>2989.8487352353113</v>
      </c>
      <c r="G413" s="1"/>
      <c r="H413" s="1"/>
    </row>
    <row r="414" spans="2:8" x14ac:dyDescent="0.25">
      <c r="B414">
        <v>731.64880930681829</v>
      </c>
      <c r="C414" s="43">
        <f t="shared" si="12"/>
        <v>1463.2976186136366</v>
      </c>
      <c r="D414" s="1">
        <f t="shared" si="13"/>
        <v>1500</v>
      </c>
      <c r="G414" s="1"/>
      <c r="H414" s="1"/>
    </row>
    <row r="415" spans="2:8" x14ac:dyDescent="0.25">
      <c r="B415">
        <v>1202.8219232718693</v>
      </c>
      <c r="C415" s="43">
        <f t="shared" si="12"/>
        <v>2405.6438465437386</v>
      </c>
      <c r="D415" s="1">
        <f t="shared" si="13"/>
        <v>2209.8767314515426</v>
      </c>
      <c r="G415" s="1"/>
      <c r="H415" s="1"/>
    </row>
    <row r="416" spans="2:8" x14ac:dyDescent="0.25">
      <c r="B416">
        <v>995.56282251006633</v>
      </c>
      <c r="C416" s="43">
        <f t="shared" si="12"/>
        <v>1991.1256450201327</v>
      </c>
      <c r="D416" s="1">
        <f t="shared" si="13"/>
        <v>1500</v>
      </c>
      <c r="G416" s="1"/>
      <c r="H416" s="1"/>
    </row>
    <row r="417" spans="2:8" x14ac:dyDescent="0.25">
      <c r="B417">
        <v>1192.8926728899678</v>
      </c>
      <c r="C417" s="43">
        <f t="shared" si="12"/>
        <v>2385.7853457799356</v>
      </c>
      <c r="D417" s="1">
        <f t="shared" si="13"/>
        <v>2175.1243551148873</v>
      </c>
      <c r="G417" s="1"/>
      <c r="H417" s="1"/>
    </row>
    <row r="418" spans="2:8" x14ac:dyDescent="0.25">
      <c r="B418">
        <v>1021.3912908341736</v>
      </c>
      <c r="C418" s="43">
        <f t="shared" si="12"/>
        <v>2042.7825816683471</v>
      </c>
      <c r="D418" s="1">
        <f t="shared" si="13"/>
        <v>1574.8695179196075</v>
      </c>
      <c r="G418" s="1"/>
      <c r="H418" s="1"/>
    </row>
    <row r="419" spans="2:8" x14ac:dyDescent="0.25">
      <c r="B419">
        <v>1462.8878223277861</v>
      </c>
      <c r="C419" s="43">
        <f t="shared" si="12"/>
        <v>2925.7756446555723</v>
      </c>
      <c r="D419" s="1">
        <f t="shared" si="13"/>
        <v>3120.1073781472514</v>
      </c>
      <c r="G419" s="1"/>
      <c r="H419" s="1"/>
    </row>
    <row r="420" spans="2:8" x14ac:dyDescent="0.25">
      <c r="B420">
        <v>1323.0321765434492</v>
      </c>
      <c r="C420" s="43">
        <f t="shared" si="12"/>
        <v>2646.0643530868983</v>
      </c>
      <c r="D420" s="1">
        <f t="shared" si="13"/>
        <v>2630.6126179020721</v>
      </c>
      <c r="G420" s="1"/>
      <c r="H420" s="1"/>
    </row>
    <row r="421" spans="2:8" x14ac:dyDescent="0.25">
      <c r="B421">
        <v>1115.0964151341323</v>
      </c>
      <c r="C421" s="43">
        <f t="shared" si="12"/>
        <v>2230.1928302682645</v>
      </c>
      <c r="D421" s="1">
        <f t="shared" si="13"/>
        <v>1902.8374529694629</v>
      </c>
      <c r="G421" s="1"/>
      <c r="H421" s="1"/>
    </row>
    <row r="422" spans="2:8" x14ac:dyDescent="0.25">
      <c r="B422">
        <v>1040.2522100606002</v>
      </c>
      <c r="C422" s="43">
        <f t="shared" si="12"/>
        <v>2080.5044201212004</v>
      </c>
      <c r="D422" s="1">
        <f t="shared" si="13"/>
        <v>1640.8827352121007</v>
      </c>
      <c r="G422" s="1"/>
      <c r="H422" s="1"/>
    </row>
    <row r="423" spans="2:8" x14ac:dyDescent="0.25">
      <c r="B423">
        <v>1290.7920024929917</v>
      </c>
      <c r="C423" s="43">
        <f t="shared" si="12"/>
        <v>2581.5840049859835</v>
      </c>
      <c r="D423" s="1">
        <f t="shared" si="13"/>
        <v>2517.7720087254711</v>
      </c>
      <c r="G423" s="1"/>
      <c r="H423" s="1"/>
    </row>
    <row r="424" spans="2:8" x14ac:dyDescent="0.25">
      <c r="B424">
        <v>1418.3297396642156</v>
      </c>
      <c r="C424" s="43">
        <f t="shared" si="12"/>
        <v>2836.6594793284312</v>
      </c>
      <c r="D424" s="1">
        <f t="shared" si="13"/>
        <v>2964.1540888247546</v>
      </c>
      <c r="G424" s="1"/>
      <c r="H424" s="1"/>
    </row>
    <row r="425" spans="2:8" x14ac:dyDescent="0.25">
      <c r="B425">
        <v>871.42139321377908</v>
      </c>
      <c r="C425" s="43">
        <f t="shared" si="12"/>
        <v>1742.8427864275582</v>
      </c>
      <c r="D425" s="1">
        <f t="shared" si="13"/>
        <v>1500</v>
      </c>
      <c r="G425" s="1"/>
      <c r="H425" s="1"/>
    </row>
    <row r="426" spans="2:8" x14ac:dyDescent="0.25">
      <c r="B426">
        <v>978.5158404441172</v>
      </c>
      <c r="C426" s="43">
        <f t="shared" si="12"/>
        <v>1957.0316808882344</v>
      </c>
      <c r="D426" s="1">
        <f t="shared" si="13"/>
        <v>1500</v>
      </c>
      <c r="G426" s="1"/>
      <c r="H426" s="1"/>
    </row>
    <row r="427" spans="2:8" x14ac:dyDescent="0.25">
      <c r="B427">
        <v>1087.6092262890888</v>
      </c>
      <c r="C427" s="43">
        <f t="shared" si="12"/>
        <v>2175.2184525781777</v>
      </c>
      <c r="D427" s="1">
        <f t="shared" si="13"/>
        <v>1806.6322920118109</v>
      </c>
      <c r="G427" s="1"/>
      <c r="H427" s="1"/>
    </row>
    <row r="428" spans="2:8" x14ac:dyDescent="0.25">
      <c r="B428">
        <v>1607.2543992607389</v>
      </c>
      <c r="C428" s="43">
        <f t="shared" si="12"/>
        <v>3214.5087985214777</v>
      </c>
      <c r="D428" s="1">
        <f t="shared" si="13"/>
        <v>3625.390397412586</v>
      </c>
      <c r="G428" s="1"/>
      <c r="H428" s="1"/>
    </row>
    <row r="429" spans="2:8" x14ac:dyDescent="0.25">
      <c r="B429">
        <v>1265.8793123421783</v>
      </c>
      <c r="C429" s="43">
        <f t="shared" si="12"/>
        <v>2531.7586246843566</v>
      </c>
      <c r="D429" s="1">
        <f t="shared" si="13"/>
        <v>2430.5775931976241</v>
      </c>
      <c r="G429" s="1"/>
      <c r="H429" s="1"/>
    </row>
    <row r="430" spans="2:8" x14ac:dyDescent="0.25">
      <c r="B430">
        <v>879.90964587453345</v>
      </c>
      <c r="C430" s="43">
        <f t="shared" si="12"/>
        <v>1759.8192917490669</v>
      </c>
      <c r="D430" s="1">
        <f t="shared" si="13"/>
        <v>1500</v>
      </c>
      <c r="G430" s="1"/>
      <c r="H430" s="1"/>
    </row>
    <row r="431" spans="2:8" x14ac:dyDescent="0.25">
      <c r="B431">
        <v>770.93623829688295</v>
      </c>
      <c r="C431" s="43">
        <f t="shared" si="12"/>
        <v>1541.8724765937659</v>
      </c>
      <c r="D431" s="1">
        <f t="shared" si="13"/>
        <v>1500</v>
      </c>
      <c r="G431" s="1"/>
      <c r="H431" s="1"/>
    </row>
    <row r="432" spans="2:8" x14ac:dyDescent="0.25">
      <c r="B432">
        <v>677.97153931797948</v>
      </c>
      <c r="C432" s="43">
        <f t="shared" si="12"/>
        <v>1355.943078635959</v>
      </c>
      <c r="D432" s="1">
        <f t="shared" si="13"/>
        <v>1500</v>
      </c>
      <c r="G432" s="1"/>
      <c r="H432" s="1"/>
    </row>
    <row r="433" spans="2:8" x14ac:dyDescent="0.25">
      <c r="B433">
        <v>1717.8139530927292</v>
      </c>
      <c r="C433" s="43">
        <f t="shared" si="12"/>
        <v>3435.6279061854584</v>
      </c>
      <c r="D433" s="1">
        <f t="shared" si="13"/>
        <v>4012.3488358245522</v>
      </c>
      <c r="G433" s="1"/>
      <c r="H433" s="1"/>
    </row>
    <row r="434" spans="2:8" x14ac:dyDescent="0.25">
      <c r="B434">
        <v>1231.2957865390781</v>
      </c>
      <c r="C434" s="43">
        <f t="shared" si="12"/>
        <v>2462.5915730781562</v>
      </c>
      <c r="D434" s="1">
        <f t="shared" si="13"/>
        <v>2309.5352528867734</v>
      </c>
      <c r="G434" s="1"/>
      <c r="H434" s="1"/>
    </row>
    <row r="435" spans="2:8" x14ac:dyDescent="0.25">
      <c r="B435">
        <v>589.42086596408626</v>
      </c>
      <c r="C435" s="43">
        <f t="shared" si="12"/>
        <v>1178.8417319281725</v>
      </c>
      <c r="D435" s="1">
        <f t="shared" si="13"/>
        <v>1500</v>
      </c>
      <c r="G435" s="1"/>
      <c r="H435" s="1"/>
    </row>
    <row r="436" spans="2:8" x14ac:dyDescent="0.25">
      <c r="B436">
        <v>348.428994385642</v>
      </c>
      <c r="C436" s="43">
        <f t="shared" si="12"/>
        <v>696.857988771284</v>
      </c>
      <c r="D436" s="1">
        <f t="shared" si="13"/>
        <v>1500</v>
      </c>
      <c r="G436" s="1"/>
      <c r="H436" s="1"/>
    </row>
    <row r="437" spans="2:8" x14ac:dyDescent="0.25">
      <c r="B437">
        <v>1201.9904654892453</v>
      </c>
      <c r="C437" s="43">
        <f t="shared" si="12"/>
        <v>2403.9809309784905</v>
      </c>
      <c r="D437" s="1">
        <f t="shared" si="13"/>
        <v>2206.9666292123584</v>
      </c>
      <c r="G437" s="1"/>
      <c r="H437" s="1"/>
    </row>
    <row r="438" spans="2:8" x14ac:dyDescent="0.25">
      <c r="B438">
        <v>1552.4100679443218</v>
      </c>
      <c r="C438" s="43">
        <f t="shared" si="12"/>
        <v>3104.8201358886436</v>
      </c>
      <c r="D438" s="1">
        <f t="shared" si="13"/>
        <v>3433.4352378051262</v>
      </c>
      <c r="G438" s="1"/>
      <c r="H438" s="1"/>
    </row>
    <row r="439" spans="2:8" x14ac:dyDescent="0.25">
      <c r="B439">
        <v>744.90766635909677</v>
      </c>
      <c r="C439" s="43">
        <f t="shared" si="12"/>
        <v>1489.8153327181935</v>
      </c>
      <c r="D439" s="1">
        <f t="shared" si="13"/>
        <v>1500</v>
      </c>
      <c r="G439" s="1"/>
      <c r="H439" s="1"/>
    </row>
    <row r="440" spans="2:8" x14ac:dyDescent="0.25">
      <c r="B440">
        <v>723.0229591926327</v>
      </c>
      <c r="C440" s="43">
        <f t="shared" si="12"/>
        <v>1446.0459183852654</v>
      </c>
      <c r="D440" s="1">
        <f t="shared" si="13"/>
        <v>1500</v>
      </c>
      <c r="G440" s="1"/>
      <c r="H440" s="1"/>
    </row>
    <row r="441" spans="2:8" x14ac:dyDescent="0.25">
      <c r="B441">
        <v>885.0657748383237</v>
      </c>
      <c r="C441" s="43">
        <f t="shared" si="12"/>
        <v>1770.1315496766474</v>
      </c>
      <c r="D441" s="1">
        <f t="shared" si="13"/>
        <v>1500</v>
      </c>
      <c r="G441" s="1"/>
      <c r="H441" s="1"/>
    </row>
    <row r="442" spans="2:8" x14ac:dyDescent="0.25">
      <c r="B442">
        <v>1279.1666956957779</v>
      </c>
      <c r="C442" s="43">
        <f t="shared" si="12"/>
        <v>2558.3333913915558</v>
      </c>
      <c r="D442" s="1">
        <f t="shared" si="13"/>
        <v>2477.0834349352226</v>
      </c>
      <c r="G442" s="1"/>
      <c r="H442" s="1"/>
    </row>
    <row r="443" spans="2:8" x14ac:dyDescent="0.25">
      <c r="B443">
        <v>1368.777037242864</v>
      </c>
      <c r="C443" s="43">
        <f t="shared" si="12"/>
        <v>2737.5540744857281</v>
      </c>
      <c r="D443" s="1">
        <f t="shared" si="13"/>
        <v>2790.7196303500241</v>
      </c>
      <c r="G443" s="1"/>
      <c r="H443" s="1"/>
    </row>
    <row r="444" spans="2:8" x14ac:dyDescent="0.25">
      <c r="B444">
        <v>1096.482164513247</v>
      </c>
      <c r="C444" s="43">
        <f t="shared" si="12"/>
        <v>2192.9643290264939</v>
      </c>
      <c r="D444" s="1">
        <f t="shared" si="13"/>
        <v>1837.6875757963644</v>
      </c>
      <c r="G444" s="1"/>
      <c r="H444" s="1"/>
    </row>
    <row r="445" spans="2:8" x14ac:dyDescent="0.25">
      <c r="B445">
        <v>941.83898752936511</v>
      </c>
      <c r="C445" s="43">
        <f t="shared" si="12"/>
        <v>1883.6779750587302</v>
      </c>
      <c r="D445" s="1">
        <f t="shared" si="13"/>
        <v>1500</v>
      </c>
      <c r="G445" s="1"/>
      <c r="H445" s="1"/>
    </row>
    <row r="446" spans="2:8" x14ac:dyDescent="0.25">
      <c r="B446">
        <v>1089.7730301451811</v>
      </c>
      <c r="C446" s="43">
        <f t="shared" si="12"/>
        <v>2179.5460602903622</v>
      </c>
      <c r="D446" s="1">
        <f t="shared" si="13"/>
        <v>1814.2056055081339</v>
      </c>
      <c r="G446" s="1"/>
      <c r="H446" s="1"/>
    </row>
    <row r="447" spans="2:8" x14ac:dyDescent="0.25">
      <c r="B447">
        <v>1025.5645209156792</v>
      </c>
      <c r="C447" s="43">
        <f t="shared" si="12"/>
        <v>2051.1290418313583</v>
      </c>
      <c r="D447" s="1">
        <f t="shared" si="13"/>
        <v>1589.4758232048771</v>
      </c>
      <c r="G447" s="1"/>
      <c r="H447" s="1"/>
    </row>
    <row r="448" spans="2:8" x14ac:dyDescent="0.25">
      <c r="B448">
        <v>1315.1568198566674</v>
      </c>
      <c r="C448" s="43">
        <f t="shared" si="12"/>
        <v>2630.3136397133349</v>
      </c>
      <c r="D448" s="1">
        <f t="shared" si="13"/>
        <v>2603.048869498336</v>
      </c>
      <c r="G448" s="1"/>
      <c r="H448" s="1"/>
    </row>
    <row r="449" spans="2:8" x14ac:dyDescent="0.25">
      <c r="B449">
        <v>840.09154377900995</v>
      </c>
      <c r="C449" s="43">
        <f t="shared" si="12"/>
        <v>1680.1830875580199</v>
      </c>
      <c r="D449" s="1">
        <f t="shared" si="13"/>
        <v>1500</v>
      </c>
      <c r="G449" s="1"/>
      <c r="H449" s="1"/>
    </row>
    <row r="450" spans="2:8" x14ac:dyDescent="0.25">
      <c r="B450">
        <v>1234.3904707279871</v>
      </c>
      <c r="C450" s="43">
        <f t="shared" si="12"/>
        <v>2468.7809414559742</v>
      </c>
      <c r="D450" s="1">
        <f t="shared" si="13"/>
        <v>2320.3666475479549</v>
      </c>
      <c r="G450" s="1"/>
      <c r="H450" s="1"/>
    </row>
    <row r="451" spans="2:8" x14ac:dyDescent="0.25">
      <c r="B451">
        <v>791.03301757760346</v>
      </c>
      <c r="C451" s="43">
        <f t="shared" si="12"/>
        <v>1582.0660351552069</v>
      </c>
      <c r="D451" s="1">
        <f t="shared" si="13"/>
        <v>1500</v>
      </c>
      <c r="G451" s="1"/>
      <c r="H451" s="1"/>
    </row>
    <row r="452" spans="2:8" x14ac:dyDescent="0.25">
      <c r="B452">
        <v>1372.3642196339933</v>
      </c>
      <c r="C452" s="43">
        <f t="shared" si="12"/>
        <v>2744.7284392679867</v>
      </c>
      <c r="D452" s="1">
        <f t="shared" si="13"/>
        <v>2803.2747687189767</v>
      </c>
      <c r="G452" s="1"/>
      <c r="H452" s="1"/>
    </row>
    <row r="453" spans="2:8" x14ac:dyDescent="0.25">
      <c r="B453">
        <v>742.16662440568325</v>
      </c>
      <c r="C453" s="43">
        <f t="shared" si="12"/>
        <v>1484.3332488113665</v>
      </c>
      <c r="D453" s="1">
        <f t="shared" si="13"/>
        <v>1500</v>
      </c>
      <c r="G453" s="1"/>
      <c r="H453" s="1"/>
    </row>
    <row r="454" spans="2:8" x14ac:dyDescent="0.25">
      <c r="B454">
        <v>1027.6897303641017</v>
      </c>
      <c r="C454" s="43">
        <f t="shared" si="12"/>
        <v>2055.3794607282034</v>
      </c>
      <c r="D454" s="1">
        <f t="shared" si="13"/>
        <v>1596.914056274356</v>
      </c>
      <c r="G454" s="1"/>
      <c r="H454" s="1"/>
    </row>
    <row r="455" spans="2:8" x14ac:dyDescent="0.25">
      <c r="B455">
        <v>1205.8645889113104</v>
      </c>
      <c r="C455" s="43">
        <f t="shared" si="12"/>
        <v>2411.7291778226208</v>
      </c>
      <c r="D455" s="1">
        <f t="shared" si="13"/>
        <v>2220.5260611895865</v>
      </c>
      <c r="G455" s="1"/>
      <c r="H455" s="1"/>
    </row>
    <row r="456" spans="2:8" x14ac:dyDescent="0.25">
      <c r="B456">
        <v>1696.9377345788525</v>
      </c>
      <c r="C456" s="43">
        <f t="shared" si="12"/>
        <v>3393.8754691577051</v>
      </c>
      <c r="D456" s="1">
        <f t="shared" si="13"/>
        <v>3939.2820710259839</v>
      </c>
      <c r="G456" s="1"/>
      <c r="H456" s="1"/>
    </row>
    <row r="457" spans="2:8" x14ac:dyDescent="0.25">
      <c r="B457">
        <v>1161.8732567342813</v>
      </c>
      <c r="C457" s="43">
        <f t="shared" si="12"/>
        <v>2323.7465134685626</v>
      </c>
      <c r="D457" s="1">
        <f t="shared" si="13"/>
        <v>2066.5563985699846</v>
      </c>
      <c r="G457" s="1"/>
      <c r="H457" s="1"/>
    </row>
    <row r="458" spans="2:8" x14ac:dyDescent="0.25">
      <c r="B458">
        <v>1451.9807071167743</v>
      </c>
      <c r="C458" s="43">
        <f t="shared" si="12"/>
        <v>2903.9614142335486</v>
      </c>
      <c r="D458" s="1">
        <f t="shared" si="13"/>
        <v>3081.93247490871</v>
      </c>
      <c r="G458" s="1"/>
      <c r="H458" s="1"/>
    </row>
    <row r="459" spans="2:8" x14ac:dyDescent="0.25">
      <c r="B459">
        <v>638.69921248743776</v>
      </c>
      <c r="C459" s="43">
        <f t="shared" si="12"/>
        <v>1277.3984249748755</v>
      </c>
      <c r="D459" s="1">
        <f t="shared" si="13"/>
        <v>1500</v>
      </c>
      <c r="G459" s="1"/>
      <c r="H459" s="1"/>
    </row>
    <row r="460" spans="2:8" x14ac:dyDescent="0.25">
      <c r="B460">
        <v>1219.4141625344055</v>
      </c>
      <c r="C460" s="43">
        <f t="shared" si="12"/>
        <v>2438.828325068811</v>
      </c>
      <c r="D460" s="1">
        <f t="shared" si="13"/>
        <v>2267.9495688704192</v>
      </c>
      <c r="G460" s="1"/>
      <c r="H460" s="1"/>
    </row>
    <row r="461" spans="2:8" x14ac:dyDescent="0.25">
      <c r="B461">
        <v>1068.7961305678182</v>
      </c>
      <c r="C461" s="43">
        <f t="shared" si="12"/>
        <v>2137.5922611356364</v>
      </c>
      <c r="D461" s="1">
        <f t="shared" si="13"/>
        <v>1740.7864569873636</v>
      </c>
      <c r="G461" s="1"/>
      <c r="H461" s="1"/>
    </row>
    <row r="462" spans="2:8" x14ac:dyDescent="0.25">
      <c r="B462">
        <v>807.80564374555252</v>
      </c>
      <c r="C462" s="43">
        <f t="shared" si="12"/>
        <v>1615.611287491105</v>
      </c>
      <c r="D462" s="1">
        <f t="shared" si="13"/>
        <v>1500</v>
      </c>
      <c r="G462" s="1"/>
      <c r="H462" s="1"/>
    </row>
    <row r="463" spans="2:8" x14ac:dyDescent="0.25">
      <c r="B463">
        <v>1350.4232988737494</v>
      </c>
      <c r="C463" s="43">
        <f t="shared" si="12"/>
        <v>2700.8465977474989</v>
      </c>
      <c r="D463" s="1">
        <f t="shared" si="13"/>
        <v>2726.4815460581231</v>
      </c>
      <c r="G463" s="1"/>
      <c r="H463" s="1"/>
    </row>
    <row r="464" spans="2:8" x14ac:dyDescent="0.25">
      <c r="B464">
        <v>928.82721858705918</v>
      </c>
      <c r="C464" s="43">
        <f t="shared" si="12"/>
        <v>1857.6544371741184</v>
      </c>
      <c r="D464" s="1">
        <f t="shared" si="13"/>
        <v>1500</v>
      </c>
      <c r="G464" s="1"/>
      <c r="H464" s="1"/>
    </row>
    <row r="465" spans="2:8" x14ac:dyDescent="0.25">
      <c r="B465">
        <v>1443.649349113286</v>
      </c>
      <c r="C465" s="43">
        <f t="shared" si="12"/>
        <v>2887.298698226572</v>
      </c>
      <c r="D465" s="1">
        <f t="shared" si="13"/>
        <v>3052.772721896501</v>
      </c>
      <c r="G465" s="1"/>
      <c r="H465" s="1"/>
    </row>
    <row r="466" spans="2:8" x14ac:dyDescent="0.25">
      <c r="B466">
        <v>2145.2604421768337</v>
      </c>
      <c r="C466" s="43">
        <f t="shared" ref="C466:C529" si="14">B466*2</f>
        <v>4290.5208843536675</v>
      </c>
      <c r="D466" s="1">
        <f t="shared" ref="D466:D529" si="15">IF(B466&lt;=1000,1500,1500+(B466-1000)*3.5)</f>
        <v>5508.4115476189181</v>
      </c>
      <c r="G466" s="1"/>
      <c r="H466" s="1"/>
    </row>
    <row r="467" spans="2:8" x14ac:dyDescent="0.25">
      <c r="B467">
        <v>1209.7747897144582</v>
      </c>
      <c r="C467" s="43">
        <f t="shared" si="14"/>
        <v>2419.5495794289163</v>
      </c>
      <c r="D467" s="1">
        <f t="shared" si="15"/>
        <v>2234.2117640006036</v>
      </c>
      <c r="G467" s="1"/>
      <c r="H467" s="1"/>
    </row>
    <row r="468" spans="2:8" x14ac:dyDescent="0.25">
      <c r="B468">
        <v>1291.5311693007534</v>
      </c>
      <c r="C468" s="43">
        <f t="shared" si="14"/>
        <v>2583.0623386015068</v>
      </c>
      <c r="D468" s="1">
        <f t="shared" si="15"/>
        <v>2520.3590925526369</v>
      </c>
      <c r="G468" s="1"/>
      <c r="H468" s="1"/>
    </row>
    <row r="469" spans="2:8" x14ac:dyDescent="0.25">
      <c r="B469">
        <v>957.85902274775435</v>
      </c>
      <c r="C469" s="43">
        <f t="shared" si="14"/>
        <v>1915.7180454955087</v>
      </c>
      <c r="D469" s="1">
        <f t="shared" si="15"/>
        <v>1500</v>
      </c>
      <c r="G469" s="1"/>
      <c r="H469" s="1"/>
    </row>
    <row r="470" spans="2:8" x14ac:dyDescent="0.25">
      <c r="B470">
        <v>1926.6818533481564</v>
      </c>
      <c r="C470" s="43">
        <f t="shared" si="14"/>
        <v>3853.3637066963129</v>
      </c>
      <c r="D470" s="1">
        <f t="shared" si="15"/>
        <v>4743.3864867185475</v>
      </c>
      <c r="G470" s="1"/>
      <c r="H470" s="1"/>
    </row>
    <row r="471" spans="2:8" x14ac:dyDescent="0.25">
      <c r="B471">
        <v>1225.1836069765995</v>
      </c>
      <c r="C471" s="43">
        <f t="shared" si="14"/>
        <v>2450.3672139531991</v>
      </c>
      <c r="D471" s="1">
        <f t="shared" si="15"/>
        <v>2288.1426244180984</v>
      </c>
      <c r="G471" s="1"/>
      <c r="H471" s="1"/>
    </row>
    <row r="472" spans="2:8" x14ac:dyDescent="0.25">
      <c r="B472">
        <v>1651.6631383468048</v>
      </c>
      <c r="C472" s="43">
        <f t="shared" si="14"/>
        <v>3303.3262766936095</v>
      </c>
      <c r="D472" s="1">
        <f t="shared" si="15"/>
        <v>3780.8209842138167</v>
      </c>
      <c r="G472" s="1"/>
      <c r="H472" s="1"/>
    </row>
    <row r="473" spans="2:8" x14ac:dyDescent="0.25">
      <c r="B473">
        <v>1659.0833327257424</v>
      </c>
      <c r="C473" s="43">
        <f t="shared" si="14"/>
        <v>3318.1666654514847</v>
      </c>
      <c r="D473" s="1">
        <f t="shared" si="15"/>
        <v>3806.7916645400983</v>
      </c>
      <c r="G473" s="1"/>
      <c r="H473" s="1"/>
    </row>
    <row r="474" spans="2:8" x14ac:dyDescent="0.25">
      <c r="B474">
        <v>768.29503839809331</v>
      </c>
      <c r="C474" s="43">
        <f t="shared" si="14"/>
        <v>1536.5900767961866</v>
      </c>
      <c r="D474" s="1">
        <f t="shared" si="15"/>
        <v>1500</v>
      </c>
      <c r="G474" s="1"/>
      <c r="H474" s="1"/>
    </row>
    <row r="475" spans="2:8" x14ac:dyDescent="0.25">
      <c r="B475">
        <v>1323.3849797700823</v>
      </c>
      <c r="C475" s="43">
        <f t="shared" si="14"/>
        <v>2646.7699595401646</v>
      </c>
      <c r="D475" s="1">
        <f t="shared" si="15"/>
        <v>2631.847429195288</v>
      </c>
      <c r="G475" s="1"/>
      <c r="H475" s="1"/>
    </row>
    <row r="476" spans="2:8" x14ac:dyDescent="0.25">
      <c r="B476">
        <v>1594.8068637783872</v>
      </c>
      <c r="C476" s="43">
        <f t="shared" si="14"/>
        <v>3189.6137275567744</v>
      </c>
      <c r="D476" s="1">
        <f t="shared" si="15"/>
        <v>3581.8240232243552</v>
      </c>
      <c r="G476" s="1"/>
      <c r="H476" s="1"/>
    </row>
    <row r="477" spans="2:8" x14ac:dyDescent="0.25">
      <c r="B477">
        <v>1397.0491188786691</v>
      </c>
      <c r="C477" s="43">
        <f t="shared" si="14"/>
        <v>2794.0982377573382</v>
      </c>
      <c r="D477" s="1">
        <f t="shared" si="15"/>
        <v>2889.6719160753419</v>
      </c>
      <c r="G477" s="1"/>
      <c r="H477" s="1"/>
    </row>
    <row r="478" spans="2:8" x14ac:dyDescent="0.25">
      <c r="B478">
        <v>1275.1918912102265</v>
      </c>
      <c r="C478" s="43">
        <f t="shared" si="14"/>
        <v>2550.3837824204529</v>
      </c>
      <c r="D478" s="1">
        <f t="shared" si="15"/>
        <v>2463.1716192357926</v>
      </c>
      <c r="G478" s="1"/>
      <c r="H478" s="1"/>
    </row>
    <row r="479" spans="2:8" x14ac:dyDescent="0.25">
      <c r="B479">
        <v>1022.5768103567243</v>
      </c>
      <c r="C479" s="43">
        <f t="shared" si="14"/>
        <v>2045.1536207134486</v>
      </c>
      <c r="D479" s="1">
        <f t="shared" si="15"/>
        <v>1579.0188362485351</v>
      </c>
      <c r="G479" s="1"/>
      <c r="H479" s="1"/>
    </row>
    <row r="480" spans="2:8" x14ac:dyDescent="0.25">
      <c r="B480">
        <v>1734.3675979475956</v>
      </c>
      <c r="C480" s="43">
        <f t="shared" si="14"/>
        <v>3468.7351958951913</v>
      </c>
      <c r="D480" s="1">
        <f t="shared" si="15"/>
        <v>4070.2865928165847</v>
      </c>
      <c r="G480" s="1"/>
      <c r="H480" s="1"/>
    </row>
    <row r="481" spans="2:8" x14ac:dyDescent="0.25">
      <c r="B481">
        <v>1249.8248777604313</v>
      </c>
      <c r="C481" s="43">
        <f t="shared" si="14"/>
        <v>2499.6497555208625</v>
      </c>
      <c r="D481" s="1">
        <f t="shared" si="15"/>
        <v>2374.3870721615094</v>
      </c>
      <c r="G481" s="1"/>
      <c r="H481" s="1"/>
    </row>
    <row r="482" spans="2:8" x14ac:dyDescent="0.25">
      <c r="B482">
        <v>1682.4648317027022</v>
      </c>
      <c r="C482" s="43">
        <f t="shared" si="14"/>
        <v>3364.9296634054044</v>
      </c>
      <c r="D482" s="1">
        <f t="shared" si="15"/>
        <v>3888.6269109594577</v>
      </c>
      <c r="G482" s="1"/>
      <c r="H482" s="1"/>
    </row>
    <row r="483" spans="2:8" x14ac:dyDescent="0.25">
      <c r="B483">
        <v>681.56081923126476</v>
      </c>
      <c r="C483" s="43">
        <f t="shared" si="14"/>
        <v>1363.1216384625295</v>
      </c>
      <c r="D483" s="1">
        <f t="shared" si="15"/>
        <v>1500</v>
      </c>
      <c r="G483" s="1"/>
      <c r="H483" s="1"/>
    </row>
    <row r="484" spans="2:8" x14ac:dyDescent="0.25">
      <c r="B484">
        <v>1101.363518074606</v>
      </c>
      <c r="C484" s="43">
        <f t="shared" si="14"/>
        <v>2202.7270361492119</v>
      </c>
      <c r="D484" s="1">
        <f t="shared" si="15"/>
        <v>1854.7723132611209</v>
      </c>
      <c r="G484" s="1"/>
      <c r="H484" s="1"/>
    </row>
    <row r="485" spans="2:8" x14ac:dyDescent="0.25">
      <c r="B485">
        <v>1227.1892576621321</v>
      </c>
      <c r="C485" s="43">
        <f t="shared" si="14"/>
        <v>2454.3785153242643</v>
      </c>
      <c r="D485" s="1">
        <f t="shared" si="15"/>
        <v>2295.1624018174625</v>
      </c>
      <c r="G485" s="1"/>
      <c r="H485" s="1"/>
    </row>
    <row r="486" spans="2:8" x14ac:dyDescent="0.25">
      <c r="B486">
        <v>1173.2040714207978</v>
      </c>
      <c r="C486" s="43">
        <f t="shared" si="14"/>
        <v>2346.4081428415957</v>
      </c>
      <c r="D486" s="1">
        <f t="shared" si="15"/>
        <v>2106.2142499727925</v>
      </c>
      <c r="G486" s="1"/>
      <c r="H486" s="1"/>
    </row>
    <row r="487" spans="2:8" x14ac:dyDescent="0.25">
      <c r="B487">
        <v>1025.4168553558993</v>
      </c>
      <c r="C487" s="43">
        <f t="shared" si="14"/>
        <v>2050.8337107117986</v>
      </c>
      <c r="D487" s="1">
        <f t="shared" si="15"/>
        <v>1588.9589937456476</v>
      </c>
      <c r="G487" s="1"/>
      <c r="H487" s="1"/>
    </row>
    <row r="488" spans="2:8" x14ac:dyDescent="0.25">
      <c r="B488">
        <v>837.54850791711942</v>
      </c>
      <c r="C488" s="43">
        <f t="shared" si="14"/>
        <v>1675.0970158342388</v>
      </c>
      <c r="D488" s="1">
        <f t="shared" si="15"/>
        <v>1500</v>
      </c>
      <c r="G488" s="1"/>
      <c r="H488" s="1"/>
    </row>
    <row r="489" spans="2:8" x14ac:dyDescent="0.25">
      <c r="B489">
        <v>610.89110275253188</v>
      </c>
      <c r="C489" s="43">
        <f t="shared" si="14"/>
        <v>1221.7822055050638</v>
      </c>
      <c r="D489" s="1">
        <f t="shared" si="15"/>
        <v>1500</v>
      </c>
      <c r="G489" s="1"/>
      <c r="H489" s="1"/>
    </row>
    <row r="490" spans="2:8" x14ac:dyDescent="0.25">
      <c r="B490">
        <v>1314.903439180227</v>
      </c>
      <c r="C490" s="43">
        <f t="shared" si="14"/>
        <v>2629.806878360454</v>
      </c>
      <c r="D490" s="1">
        <f t="shared" si="15"/>
        <v>2602.1620371307945</v>
      </c>
      <c r="G490" s="1"/>
      <c r="H490" s="1"/>
    </row>
    <row r="491" spans="2:8" x14ac:dyDescent="0.25">
      <c r="B491">
        <v>1668.2285293257446</v>
      </c>
      <c r="C491" s="43">
        <f t="shared" si="14"/>
        <v>3336.4570586514892</v>
      </c>
      <c r="D491" s="1">
        <f t="shared" si="15"/>
        <v>3838.7998526401061</v>
      </c>
      <c r="G491" s="1"/>
      <c r="H491" s="1"/>
    </row>
    <row r="492" spans="2:8" x14ac:dyDescent="0.25">
      <c r="B492">
        <v>1042.0334258754447</v>
      </c>
      <c r="C492" s="43">
        <f t="shared" si="14"/>
        <v>2084.0668517508893</v>
      </c>
      <c r="D492" s="1">
        <f t="shared" si="15"/>
        <v>1647.1169905640563</v>
      </c>
      <c r="G492" s="1"/>
      <c r="H492" s="1"/>
    </row>
    <row r="493" spans="2:8" x14ac:dyDescent="0.25">
      <c r="B493">
        <v>1374.6173779339297</v>
      </c>
      <c r="C493" s="43">
        <f t="shared" si="14"/>
        <v>2749.2347558678593</v>
      </c>
      <c r="D493" s="1">
        <f t="shared" si="15"/>
        <v>2811.1608227687539</v>
      </c>
      <c r="G493" s="1"/>
      <c r="H493" s="1"/>
    </row>
    <row r="494" spans="2:8" x14ac:dyDescent="0.25">
      <c r="B494">
        <v>1620.5283584725403</v>
      </c>
      <c r="C494" s="43">
        <f t="shared" si="14"/>
        <v>3241.0567169450806</v>
      </c>
      <c r="D494" s="1">
        <f t="shared" si="15"/>
        <v>3671.849254653891</v>
      </c>
      <c r="G494" s="1"/>
      <c r="H494" s="1"/>
    </row>
    <row r="495" spans="2:8" x14ac:dyDescent="0.25">
      <c r="B495">
        <v>1637.6281980968197</v>
      </c>
      <c r="C495" s="43">
        <f t="shared" si="14"/>
        <v>3275.2563961936394</v>
      </c>
      <c r="D495" s="1">
        <f t="shared" si="15"/>
        <v>3731.6986933388689</v>
      </c>
      <c r="G495" s="1"/>
      <c r="H495" s="1"/>
    </row>
    <row r="496" spans="2:8" x14ac:dyDescent="0.25">
      <c r="B496">
        <v>1297.9642697530944</v>
      </c>
      <c r="C496" s="43">
        <f t="shared" si="14"/>
        <v>2595.9285395061888</v>
      </c>
      <c r="D496" s="1">
        <f t="shared" si="15"/>
        <v>2542.8749441358304</v>
      </c>
      <c r="G496" s="1"/>
      <c r="H496" s="1"/>
    </row>
    <row r="497" spans="2:8" x14ac:dyDescent="0.25">
      <c r="B497">
        <v>1340.6542991845636</v>
      </c>
      <c r="C497" s="43">
        <f t="shared" si="14"/>
        <v>2681.3085983691271</v>
      </c>
      <c r="D497" s="1">
        <f t="shared" si="15"/>
        <v>2692.2900471459725</v>
      </c>
      <c r="G497" s="1"/>
      <c r="H497" s="1"/>
    </row>
    <row r="498" spans="2:8" x14ac:dyDescent="0.25">
      <c r="B498">
        <v>854.11977195809595</v>
      </c>
      <c r="C498" s="43">
        <f t="shared" si="14"/>
        <v>1708.2395439161919</v>
      </c>
      <c r="D498" s="1">
        <f t="shared" si="15"/>
        <v>1500</v>
      </c>
      <c r="G498" s="1"/>
      <c r="H498" s="1"/>
    </row>
    <row r="499" spans="2:8" x14ac:dyDescent="0.25">
      <c r="B499">
        <v>1225.8229317297373</v>
      </c>
      <c r="C499" s="43">
        <f t="shared" si="14"/>
        <v>2451.6458634594746</v>
      </c>
      <c r="D499" s="1">
        <f t="shared" si="15"/>
        <v>2290.3802610540806</v>
      </c>
      <c r="G499" s="1"/>
      <c r="H499" s="1"/>
    </row>
    <row r="500" spans="2:8" x14ac:dyDescent="0.25">
      <c r="B500">
        <v>1451.3313142572879</v>
      </c>
      <c r="C500" s="43">
        <f t="shared" si="14"/>
        <v>2902.6626285145758</v>
      </c>
      <c r="D500" s="1">
        <f t="shared" si="15"/>
        <v>3079.6595999005076</v>
      </c>
      <c r="G500" s="1"/>
      <c r="H500" s="1"/>
    </row>
    <row r="501" spans="2:8" x14ac:dyDescent="0.25">
      <c r="B501">
        <v>1156.5002439795644</v>
      </c>
      <c r="C501" s="43">
        <f t="shared" si="14"/>
        <v>2313.0004879591288</v>
      </c>
      <c r="D501" s="1">
        <f t="shared" si="15"/>
        <v>2047.7508539284754</v>
      </c>
      <c r="G501" s="1"/>
      <c r="H501" s="1"/>
    </row>
    <row r="502" spans="2:8" x14ac:dyDescent="0.25">
      <c r="B502">
        <v>1544.1626108270721</v>
      </c>
      <c r="C502" s="43">
        <f t="shared" si="14"/>
        <v>3088.3252216541441</v>
      </c>
      <c r="D502" s="1">
        <f t="shared" si="15"/>
        <v>3404.5691378947522</v>
      </c>
      <c r="G502" s="1"/>
      <c r="H502" s="1"/>
    </row>
    <row r="503" spans="2:8" x14ac:dyDescent="0.25">
      <c r="B503">
        <v>908.99262957583414</v>
      </c>
      <c r="C503" s="43">
        <f t="shared" si="14"/>
        <v>1817.9852591516683</v>
      </c>
      <c r="D503" s="1">
        <f t="shared" si="15"/>
        <v>1500</v>
      </c>
      <c r="G503" s="1"/>
      <c r="H503" s="1"/>
    </row>
    <row r="504" spans="2:8" x14ac:dyDescent="0.25">
      <c r="B504">
        <v>1099.5197960995138</v>
      </c>
      <c r="C504" s="43">
        <f t="shared" si="14"/>
        <v>2199.0395921990275</v>
      </c>
      <c r="D504" s="1">
        <f t="shared" si="15"/>
        <v>1848.3192863482982</v>
      </c>
      <c r="G504" s="1"/>
      <c r="H504" s="1"/>
    </row>
    <row r="505" spans="2:8" x14ac:dyDescent="0.25">
      <c r="B505">
        <v>572.9209176764125</v>
      </c>
      <c r="C505" s="43">
        <f t="shared" si="14"/>
        <v>1145.841835352825</v>
      </c>
      <c r="D505" s="1">
        <f t="shared" si="15"/>
        <v>1500</v>
      </c>
      <c r="G505" s="1"/>
      <c r="H505" s="1"/>
    </row>
    <row r="506" spans="2:8" x14ac:dyDescent="0.25">
      <c r="B506">
        <v>616.44701943924883</v>
      </c>
      <c r="C506" s="43">
        <f t="shared" si="14"/>
        <v>1232.8940388784977</v>
      </c>
      <c r="D506" s="1">
        <f t="shared" si="15"/>
        <v>1500</v>
      </c>
      <c r="G506" s="1"/>
      <c r="H506" s="1"/>
    </row>
    <row r="507" spans="2:8" x14ac:dyDescent="0.25">
      <c r="B507">
        <v>1853.4464477682486</v>
      </c>
      <c r="C507" s="43">
        <f t="shared" si="14"/>
        <v>3706.8928955364972</v>
      </c>
      <c r="D507" s="1">
        <f t="shared" si="15"/>
        <v>4487.0625671888702</v>
      </c>
      <c r="G507" s="1"/>
      <c r="H507" s="1"/>
    </row>
    <row r="508" spans="2:8" x14ac:dyDescent="0.25">
      <c r="B508">
        <v>1321.815194188559</v>
      </c>
      <c r="C508" s="43">
        <f t="shared" si="14"/>
        <v>2643.6303883771179</v>
      </c>
      <c r="D508" s="1">
        <f t="shared" si="15"/>
        <v>2626.3531796599564</v>
      </c>
      <c r="G508" s="1"/>
      <c r="H508" s="1"/>
    </row>
    <row r="509" spans="2:8" x14ac:dyDescent="0.25">
      <c r="B509">
        <v>741.71607664658222</v>
      </c>
      <c r="C509" s="43">
        <f t="shared" si="14"/>
        <v>1483.4321532931644</v>
      </c>
      <c r="D509" s="1">
        <f t="shared" si="15"/>
        <v>1500</v>
      </c>
      <c r="G509" s="1"/>
      <c r="H509" s="1"/>
    </row>
    <row r="510" spans="2:8" x14ac:dyDescent="0.25">
      <c r="B510">
        <v>527.37448257295182</v>
      </c>
      <c r="C510" s="43">
        <f t="shared" si="14"/>
        <v>1054.7489651459036</v>
      </c>
      <c r="D510" s="1">
        <f t="shared" si="15"/>
        <v>1500</v>
      </c>
      <c r="G510" s="1"/>
      <c r="H510" s="1"/>
    </row>
    <row r="511" spans="2:8" x14ac:dyDescent="0.25">
      <c r="B511">
        <v>1510.1022070496692</v>
      </c>
      <c r="C511" s="43">
        <f t="shared" si="14"/>
        <v>3020.2044140993385</v>
      </c>
      <c r="D511" s="1">
        <f t="shared" si="15"/>
        <v>3285.3577246738423</v>
      </c>
      <c r="G511" s="1"/>
      <c r="H511" s="1"/>
    </row>
    <row r="512" spans="2:8" x14ac:dyDescent="0.25">
      <c r="B512">
        <v>1173.1184925168345</v>
      </c>
      <c r="C512" s="43">
        <f t="shared" si="14"/>
        <v>2346.236985033669</v>
      </c>
      <c r="D512" s="1">
        <f t="shared" si="15"/>
        <v>2105.9147238089208</v>
      </c>
      <c r="G512" s="1"/>
      <c r="H512" s="1"/>
    </row>
    <row r="513" spans="2:8" x14ac:dyDescent="0.25">
      <c r="B513">
        <v>1490.7991301527654</v>
      </c>
      <c r="C513" s="43">
        <f t="shared" si="14"/>
        <v>2981.5982603055309</v>
      </c>
      <c r="D513" s="1">
        <f t="shared" si="15"/>
        <v>3217.796955534679</v>
      </c>
      <c r="G513" s="1"/>
      <c r="H513" s="1"/>
    </row>
    <row r="514" spans="2:8" x14ac:dyDescent="0.25">
      <c r="B514">
        <v>1117.6407095093164</v>
      </c>
      <c r="C514" s="43">
        <f t="shared" si="14"/>
        <v>2235.2814190186327</v>
      </c>
      <c r="D514" s="1">
        <f t="shared" si="15"/>
        <v>1911.7424832826073</v>
      </c>
      <c r="G514" s="1"/>
      <c r="H514" s="1"/>
    </row>
    <row r="515" spans="2:8" x14ac:dyDescent="0.25">
      <c r="B515">
        <v>1131.9609127725125</v>
      </c>
      <c r="C515" s="43">
        <f t="shared" si="14"/>
        <v>2263.9218255450251</v>
      </c>
      <c r="D515" s="1">
        <f t="shared" si="15"/>
        <v>1961.8631947037939</v>
      </c>
      <c r="G515" s="1"/>
      <c r="H515" s="1"/>
    </row>
    <row r="516" spans="2:8" x14ac:dyDescent="0.25">
      <c r="B516">
        <v>1111.5323054867185</v>
      </c>
      <c r="C516" s="43">
        <f t="shared" si="14"/>
        <v>2223.0646109734371</v>
      </c>
      <c r="D516" s="1">
        <f t="shared" si="15"/>
        <v>1890.3630692035149</v>
      </c>
      <c r="G516" s="1"/>
      <c r="H516" s="1"/>
    </row>
    <row r="517" spans="2:8" x14ac:dyDescent="0.25">
      <c r="B517">
        <v>899.69515286730893</v>
      </c>
      <c r="C517" s="43">
        <f t="shared" si="14"/>
        <v>1799.3903057346179</v>
      </c>
      <c r="D517" s="1">
        <f t="shared" si="15"/>
        <v>1500</v>
      </c>
      <c r="G517" s="1"/>
      <c r="H517" s="1"/>
    </row>
    <row r="518" spans="2:8" x14ac:dyDescent="0.25">
      <c r="B518">
        <v>1519.0603046733595</v>
      </c>
      <c r="C518" s="43">
        <f t="shared" si="14"/>
        <v>3038.120609346719</v>
      </c>
      <c r="D518" s="1">
        <f t="shared" si="15"/>
        <v>3316.7110663567582</v>
      </c>
      <c r="G518" s="1"/>
      <c r="H518" s="1"/>
    </row>
    <row r="519" spans="2:8" x14ac:dyDescent="0.25">
      <c r="B519">
        <v>1017.7093004415947</v>
      </c>
      <c r="C519" s="43">
        <f t="shared" si="14"/>
        <v>2035.4186008831894</v>
      </c>
      <c r="D519" s="1">
        <f t="shared" si="15"/>
        <v>1561.9825515455814</v>
      </c>
      <c r="G519" s="1"/>
      <c r="H519" s="1"/>
    </row>
    <row r="520" spans="2:8" x14ac:dyDescent="0.25">
      <c r="B520">
        <v>1864.5482130353339</v>
      </c>
      <c r="C520" s="43">
        <f t="shared" si="14"/>
        <v>3729.0964260706678</v>
      </c>
      <c r="D520" s="1">
        <f t="shared" si="15"/>
        <v>4525.9187456236687</v>
      </c>
      <c r="G520" s="1"/>
      <c r="H520" s="1"/>
    </row>
    <row r="521" spans="2:8" x14ac:dyDescent="0.25">
      <c r="B521">
        <v>2247.1765267085284</v>
      </c>
      <c r="C521" s="43">
        <f t="shared" si="14"/>
        <v>4494.3530534170568</v>
      </c>
      <c r="D521" s="1">
        <f t="shared" si="15"/>
        <v>5865.1178434798494</v>
      </c>
      <c r="G521" s="1"/>
      <c r="H521" s="1"/>
    </row>
    <row r="522" spans="2:8" x14ac:dyDescent="0.25">
      <c r="B522">
        <v>1592.6204066830105</v>
      </c>
      <c r="C522" s="43">
        <f t="shared" si="14"/>
        <v>3185.240813366021</v>
      </c>
      <c r="D522" s="1">
        <f t="shared" si="15"/>
        <v>3574.1714233905368</v>
      </c>
      <c r="G522" s="1"/>
      <c r="H522" s="1"/>
    </row>
    <row r="523" spans="2:8" x14ac:dyDescent="0.25">
      <c r="B523">
        <v>1108.6456954956811</v>
      </c>
      <c r="C523" s="43">
        <f t="shared" si="14"/>
        <v>2217.2913909913623</v>
      </c>
      <c r="D523" s="1">
        <f t="shared" si="15"/>
        <v>1880.259934234884</v>
      </c>
      <c r="G523" s="1"/>
      <c r="H523" s="1"/>
    </row>
    <row r="524" spans="2:8" x14ac:dyDescent="0.25">
      <c r="B524">
        <v>491.82232103822753</v>
      </c>
      <c r="C524" s="43">
        <f t="shared" si="14"/>
        <v>983.64464207645506</v>
      </c>
      <c r="D524" s="1">
        <f t="shared" si="15"/>
        <v>1500</v>
      </c>
      <c r="G524" s="1"/>
      <c r="H524" s="1"/>
    </row>
    <row r="525" spans="2:8" x14ac:dyDescent="0.25">
      <c r="B525">
        <v>1323.6735988187429</v>
      </c>
      <c r="C525" s="43">
        <f t="shared" si="14"/>
        <v>2647.3471976374858</v>
      </c>
      <c r="D525" s="1">
        <f t="shared" si="15"/>
        <v>2632.8575958656002</v>
      </c>
      <c r="G525" s="1"/>
      <c r="H525" s="1"/>
    </row>
    <row r="526" spans="2:8" x14ac:dyDescent="0.25">
      <c r="B526">
        <v>943.39576847352146</v>
      </c>
      <c r="C526" s="43">
        <f t="shared" si="14"/>
        <v>1886.7915369470429</v>
      </c>
      <c r="D526" s="1">
        <f t="shared" si="15"/>
        <v>1500</v>
      </c>
      <c r="G526" s="1"/>
      <c r="H526" s="1"/>
    </row>
    <row r="527" spans="2:8" x14ac:dyDescent="0.25">
      <c r="B527">
        <v>933.77317583082186</v>
      </c>
      <c r="C527" s="43">
        <f t="shared" si="14"/>
        <v>1867.5463516616437</v>
      </c>
      <c r="D527" s="1">
        <f t="shared" si="15"/>
        <v>1500</v>
      </c>
      <c r="G527" s="1"/>
      <c r="H527" s="1"/>
    </row>
    <row r="528" spans="2:8" x14ac:dyDescent="0.25">
      <c r="B528">
        <v>1534.7975939051248</v>
      </c>
      <c r="C528" s="43">
        <f t="shared" si="14"/>
        <v>3069.5951878102496</v>
      </c>
      <c r="D528" s="1">
        <f t="shared" si="15"/>
        <v>3371.7915786679368</v>
      </c>
      <c r="G528" s="1"/>
      <c r="H528" s="1"/>
    </row>
    <row r="529" spans="2:8" x14ac:dyDescent="0.25">
      <c r="B529">
        <v>689.31997319060611</v>
      </c>
      <c r="C529" s="43">
        <f t="shared" si="14"/>
        <v>1378.6399463812122</v>
      </c>
      <c r="D529" s="1">
        <f t="shared" si="15"/>
        <v>1500</v>
      </c>
      <c r="G529" s="1"/>
      <c r="H529" s="1"/>
    </row>
    <row r="530" spans="2:8" x14ac:dyDescent="0.25">
      <c r="B530">
        <v>860.3661929385562</v>
      </c>
      <c r="C530" s="43">
        <f t="shared" ref="C530:C593" si="16">B530*2</f>
        <v>1720.7323858771124</v>
      </c>
      <c r="D530" s="1">
        <f t="shared" ref="D530:D593" si="17">IF(B530&lt;=1000,1500,1500+(B530-1000)*3.5)</f>
        <v>1500</v>
      </c>
      <c r="G530" s="1"/>
      <c r="H530" s="1"/>
    </row>
    <row r="531" spans="2:8" x14ac:dyDescent="0.25">
      <c r="B531">
        <v>1151.3294323606824</v>
      </c>
      <c r="C531" s="43">
        <f t="shared" si="16"/>
        <v>2302.6588647213648</v>
      </c>
      <c r="D531" s="1">
        <f t="shared" si="17"/>
        <v>2029.6530132623884</v>
      </c>
      <c r="G531" s="1"/>
      <c r="H531" s="1"/>
    </row>
    <row r="532" spans="2:8" x14ac:dyDescent="0.25">
      <c r="B532">
        <v>1137.6351297088258</v>
      </c>
      <c r="C532" s="43">
        <f t="shared" si="16"/>
        <v>2275.2702594176517</v>
      </c>
      <c r="D532" s="1">
        <f t="shared" si="17"/>
        <v>1981.7229539808905</v>
      </c>
      <c r="G532" s="1"/>
      <c r="H532" s="1"/>
    </row>
    <row r="533" spans="2:8" x14ac:dyDescent="0.25">
      <c r="B533">
        <v>892.60426946685766</v>
      </c>
      <c r="C533" s="43">
        <f t="shared" si="16"/>
        <v>1785.2085389337153</v>
      </c>
      <c r="D533" s="1">
        <f t="shared" si="17"/>
        <v>1500</v>
      </c>
      <c r="G533" s="1"/>
      <c r="H533" s="1"/>
    </row>
    <row r="534" spans="2:8" x14ac:dyDescent="0.25">
      <c r="B534">
        <v>1209.9476255401096</v>
      </c>
      <c r="C534" s="43">
        <f t="shared" si="16"/>
        <v>2419.8952510802192</v>
      </c>
      <c r="D534" s="1">
        <f t="shared" si="17"/>
        <v>2234.8166893903835</v>
      </c>
      <c r="G534" s="1"/>
      <c r="H534" s="1"/>
    </row>
    <row r="535" spans="2:8" x14ac:dyDescent="0.25">
      <c r="B535">
        <v>853.93099496405921</v>
      </c>
      <c r="C535" s="43">
        <f t="shared" si="16"/>
        <v>1707.8619899281184</v>
      </c>
      <c r="D535" s="1">
        <f t="shared" si="17"/>
        <v>1500</v>
      </c>
      <c r="G535" s="1"/>
      <c r="H535" s="1"/>
    </row>
    <row r="536" spans="2:8" x14ac:dyDescent="0.25">
      <c r="B536">
        <v>1498.7487391238683</v>
      </c>
      <c r="C536" s="43">
        <f t="shared" si="16"/>
        <v>2997.4974782477366</v>
      </c>
      <c r="D536" s="1">
        <f t="shared" si="17"/>
        <v>3245.620586933539</v>
      </c>
      <c r="G536" s="1"/>
      <c r="H536" s="1"/>
    </row>
    <row r="537" spans="2:8" x14ac:dyDescent="0.25">
      <c r="B537">
        <v>1305.2607103248301</v>
      </c>
      <c r="C537" s="43">
        <f t="shared" si="16"/>
        <v>2610.5214206496603</v>
      </c>
      <c r="D537" s="1">
        <f t="shared" si="17"/>
        <v>2568.4124861369055</v>
      </c>
      <c r="G537" s="1"/>
      <c r="H537" s="1"/>
    </row>
    <row r="538" spans="2:8" x14ac:dyDescent="0.25">
      <c r="B538">
        <v>1280.505334335714</v>
      </c>
      <c r="C538" s="43">
        <f t="shared" si="16"/>
        <v>2561.010668671428</v>
      </c>
      <c r="D538" s="1">
        <f t="shared" si="17"/>
        <v>2481.768670174999</v>
      </c>
      <c r="G538" s="1"/>
      <c r="H538" s="1"/>
    </row>
    <row r="539" spans="2:8" x14ac:dyDescent="0.25">
      <c r="B539">
        <v>675.45199570423574</v>
      </c>
      <c r="C539" s="43">
        <f t="shared" si="16"/>
        <v>1350.9039914084715</v>
      </c>
      <c r="D539" s="1">
        <f t="shared" si="17"/>
        <v>1500</v>
      </c>
      <c r="G539" s="1"/>
      <c r="H539" s="1"/>
    </row>
    <row r="540" spans="2:8" x14ac:dyDescent="0.25">
      <c r="B540">
        <v>1153.6459358297288</v>
      </c>
      <c r="C540" s="43">
        <f t="shared" si="16"/>
        <v>2307.2918716594577</v>
      </c>
      <c r="D540" s="1">
        <f t="shared" si="17"/>
        <v>2037.7607754040509</v>
      </c>
      <c r="G540" s="1"/>
      <c r="H540" s="1"/>
    </row>
    <row r="541" spans="2:8" x14ac:dyDescent="0.25">
      <c r="B541">
        <v>1333.8184744782775</v>
      </c>
      <c r="C541" s="43">
        <f t="shared" si="16"/>
        <v>2667.636948956555</v>
      </c>
      <c r="D541" s="1">
        <f t="shared" si="17"/>
        <v>2668.3646606739712</v>
      </c>
      <c r="G541" s="1"/>
      <c r="H541" s="1"/>
    </row>
    <row r="542" spans="2:8" x14ac:dyDescent="0.25">
      <c r="B542">
        <v>734.42425062358961</v>
      </c>
      <c r="C542" s="43">
        <f t="shared" si="16"/>
        <v>1468.8485012471792</v>
      </c>
      <c r="D542" s="1">
        <f t="shared" si="17"/>
        <v>1500</v>
      </c>
      <c r="G542" s="1"/>
      <c r="H542" s="1"/>
    </row>
    <row r="543" spans="2:8" x14ac:dyDescent="0.25">
      <c r="B543">
        <v>1223.151947016333</v>
      </c>
      <c r="C543" s="43">
        <f t="shared" si="16"/>
        <v>2446.303894032666</v>
      </c>
      <c r="D543" s="1">
        <f t="shared" si="17"/>
        <v>2281.0318145571655</v>
      </c>
      <c r="G543" s="1"/>
      <c r="H543" s="1"/>
    </row>
    <row r="544" spans="2:8" x14ac:dyDescent="0.25">
      <c r="B544">
        <v>910.15339833694452</v>
      </c>
      <c r="C544" s="43">
        <f t="shared" si="16"/>
        <v>1820.306796673889</v>
      </c>
      <c r="D544" s="1">
        <f t="shared" si="17"/>
        <v>1500</v>
      </c>
      <c r="G544" s="1"/>
      <c r="H544" s="1"/>
    </row>
    <row r="545" spans="2:8" x14ac:dyDescent="0.25">
      <c r="B545">
        <v>1296.5064918546996</v>
      </c>
      <c r="C545" s="43">
        <f t="shared" si="16"/>
        <v>2593.0129837093991</v>
      </c>
      <c r="D545" s="1">
        <f t="shared" si="17"/>
        <v>2537.7727214914485</v>
      </c>
      <c r="G545" s="1"/>
      <c r="H545" s="1"/>
    </row>
    <row r="546" spans="2:8" x14ac:dyDescent="0.25">
      <c r="B546">
        <v>442.15635242045391</v>
      </c>
      <c r="C546" s="43">
        <f t="shared" si="16"/>
        <v>884.31270484090783</v>
      </c>
      <c r="D546" s="1">
        <f t="shared" si="17"/>
        <v>1500</v>
      </c>
      <c r="G546" s="1"/>
      <c r="H546" s="1"/>
    </row>
    <row r="547" spans="2:8" x14ac:dyDescent="0.25">
      <c r="B547">
        <v>880.55694121186389</v>
      </c>
      <c r="C547" s="43">
        <f t="shared" si="16"/>
        <v>1761.1138824237278</v>
      </c>
      <c r="D547" s="1">
        <f t="shared" si="17"/>
        <v>1500</v>
      </c>
      <c r="G547" s="1"/>
      <c r="H547" s="1"/>
    </row>
    <row r="548" spans="2:8" x14ac:dyDescent="0.25">
      <c r="B548">
        <v>929.48877707505017</v>
      </c>
      <c r="C548" s="43">
        <f t="shared" si="16"/>
        <v>1858.9775541501003</v>
      </c>
      <c r="D548" s="1">
        <f t="shared" si="17"/>
        <v>1500</v>
      </c>
      <c r="G548" s="1"/>
      <c r="H548" s="1"/>
    </row>
    <row r="549" spans="2:8" x14ac:dyDescent="0.25">
      <c r="B549">
        <v>1497.0631703193358</v>
      </c>
      <c r="C549" s="43">
        <f t="shared" si="16"/>
        <v>2994.1263406386715</v>
      </c>
      <c r="D549" s="1">
        <f t="shared" si="17"/>
        <v>3239.7210961176752</v>
      </c>
      <c r="G549" s="1"/>
      <c r="H549" s="1"/>
    </row>
    <row r="550" spans="2:8" x14ac:dyDescent="0.25">
      <c r="B550">
        <v>1098.4127239055961</v>
      </c>
      <c r="C550" s="43">
        <f t="shared" si="16"/>
        <v>2196.8254478111921</v>
      </c>
      <c r="D550" s="1">
        <f t="shared" si="17"/>
        <v>1844.4445336695862</v>
      </c>
      <c r="G550" s="1"/>
      <c r="H550" s="1"/>
    </row>
    <row r="551" spans="2:8" x14ac:dyDescent="0.25">
      <c r="B551">
        <v>1016.310672667998</v>
      </c>
      <c r="C551" s="43">
        <f t="shared" si="16"/>
        <v>2032.621345335996</v>
      </c>
      <c r="D551" s="1">
        <f t="shared" si="17"/>
        <v>1557.087354337993</v>
      </c>
      <c r="G551" s="1"/>
      <c r="H551" s="1"/>
    </row>
    <row r="552" spans="2:8" x14ac:dyDescent="0.25">
      <c r="B552">
        <v>394.68523098668084</v>
      </c>
      <c r="C552" s="43">
        <f t="shared" si="16"/>
        <v>789.37046197336167</v>
      </c>
      <c r="D552" s="1">
        <f t="shared" si="17"/>
        <v>1500</v>
      </c>
      <c r="G552" s="1"/>
      <c r="H552" s="1"/>
    </row>
    <row r="553" spans="2:8" x14ac:dyDescent="0.25">
      <c r="B553">
        <v>807.25944897613954</v>
      </c>
      <c r="C553" s="43">
        <f t="shared" si="16"/>
        <v>1614.5188979522791</v>
      </c>
      <c r="D553" s="1">
        <f t="shared" si="17"/>
        <v>1500</v>
      </c>
      <c r="G553" s="1"/>
      <c r="H553" s="1"/>
    </row>
    <row r="554" spans="2:8" x14ac:dyDescent="0.25">
      <c r="B554">
        <v>2012.6701936363243</v>
      </c>
      <c r="C554" s="43">
        <f t="shared" si="16"/>
        <v>4025.3403872726485</v>
      </c>
      <c r="D554" s="1">
        <f t="shared" si="17"/>
        <v>5044.3456777271349</v>
      </c>
      <c r="G554" s="1"/>
      <c r="H554" s="1"/>
    </row>
    <row r="555" spans="2:8" x14ac:dyDescent="0.25">
      <c r="B555">
        <v>906.11566818671417</v>
      </c>
      <c r="C555" s="43">
        <f t="shared" si="16"/>
        <v>1812.2313363734283</v>
      </c>
      <c r="D555" s="1">
        <f t="shared" si="17"/>
        <v>1500</v>
      </c>
      <c r="G555" s="1"/>
      <c r="H555" s="1"/>
    </row>
    <row r="556" spans="2:8" x14ac:dyDescent="0.25">
      <c r="B556">
        <v>723.07581675096299</v>
      </c>
      <c r="C556" s="43">
        <f t="shared" si="16"/>
        <v>1446.151633501926</v>
      </c>
      <c r="D556" s="1">
        <f t="shared" si="17"/>
        <v>1500</v>
      </c>
      <c r="G556" s="1"/>
      <c r="H556" s="1"/>
    </row>
    <row r="557" spans="2:8" x14ac:dyDescent="0.25">
      <c r="B557">
        <v>1314.1109953097039</v>
      </c>
      <c r="C557" s="43">
        <f t="shared" si="16"/>
        <v>2628.2219906194077</v>
      </c>
      <c r="D557" s="1">
        <f t="shared" si="17"/>
        <v>2599.3884835839635</v>
      </c>
      <c r="G557" s="1"/>
      <c r="H557" s="1"/>
    </row>
    <row r="558" spans="2:8" x14ac:dyDescent="0.25">
      <c r="B558">
        <v>1070.0017863030662</v>
      </c>
      <c r="C558" s="43">
        <f t="shared" si="16"/>
        <v>2140.0035726061324</v>
      </c>
      <c r="D558" s="1">
        <f t="shared" si="17"/>
        <v>1745.0062520607316</v>
      </c>
      <c r="G558" s="1"/>
      <c r="H558" s="1"/>
    </row>
    <row r="559" spans="2:8" x14ac:dyDescent="0.25">
      <c r="B559">
        <v>1689.7256143977866</v>
      </c>
      <c r="C559" s="43">
        <f t="shared" si="16"/>
        <v>3379.4512287955731</v>
      </c>
      <c r="D559" s="1">
        <f t="shared" si="17"/>
        <v>3914.039650392253</v>
      </c>
      <c r="G559" s="1"/>
      <c r="H559" s="1"/>
    </row>
    <row r="560" spans="2:8" x14ac:dyDescent="0.25">
      <c r="B560">
        <v>1553.9563612776983</v>
      </c>
      <c r="C560" s="43">
        <f t="shared" si="16"/>
        <v>3107.9127225553966</v>
      </c>
      <c r="D560" s="1">
        <f t="shared" si="17"/>
        <v>3438.8472644719441</v>
      </c>
      <c r="G560" s="1"/>
      <c r="H560" s="1"/>
    </row>
    <row r="561" spans="2:8" x14ac:dyDescent="0.25">
      <c r="B561">
        <v>852.37463352433406</v>
      </c>
      <c r="C561" s="43">
        <f t="shared" si="16"/>
        <v>1704.7492670486681</v>
      </c>
      <c r="D561" s="1">
        <f t="shared" si="17"/>
        <v>1500</v>
      </c>
      <c r="G561" s="1"/>
      <c r="H561" s="1"/>
    </row>
    <row r="562" spans="2:8" x14ac:dyDescent="0.25">
      <c r="B562">
        <v>1249.4406117014587</v>
      </c>
      <c r="C562" s="43">
        <f t="shared" si="16"/>
        <v>2498.8812234029174</v>
      </c>
      <c r="D562" s="1">
        <f t="shared" si="17"/>
        <v>2373.0421409551054</v>
      </c>
      <c r="G562" s="1"/>
      <c r="H562" s="1"/>
    </row>
    <row r="563" spans="2:8" x14ac:dyDescent="0.25">
      <c r="B563">
        <v>1405.1451348962582</v>
      </c>
      <c r="C563" s="43">
        <f t="shared" si="16"/>
        <v>2810.2902697925165</v>
      </c>
      <c r="D563" s="1">
        <f t="shared" si="17"/>
        <v>2918.0079721369038</v>
      </c>
      <c r="G563" s="1"/>
      <c r="H563" s="1"/>
    </row>
    <row r="564" spans="2:8" x14ac:dyDescent="0.25">
      <c r="B564">
        <v>1357.3681947321456</v>
      </c>
      <c r="C564" s="43">
        <f t="shared" si="16"/>
        <v>2714.7363894642913</v>
      </c>
      <c r="D564" s="1">
        <f t="shared" si="17"/>
        <v>2750.7886815625097</v>
      </c>
      <c r="G564" s="1"/>
      <c r="H564" s="1"/>
    </row>
    <row r="565" spans="2:8" x14ac:dyDescent="0.25">
      <c r="B565">
        <v>1527.6551114596368</v>
      </c>
      <c r="C565" s="43">
        <f t="shared" si="16"/>
        <v>3055.3102229192737</v>
      </c>
      <c r="D565" s="1">
        <f t="shared" si="17"/>
        <v>3346.7928901087289</v>
      </c>
      <c r="G565" s="1"/>
      <c r="H565" s="1"/>
    </row>
    <row r="566" spans="2:8" x14ac:dyDescent="0.25">
      <c r="B566">
        <v>989.40617547788133</v>
      </c>
      <c r="C566" s="43">
        <f t="shared" si="16"/>
        <v>1978.8123509557627</v>
      </c>
      <c r="D566" s="1">
        <f t="shared" si="17"/>
        <v>1500</v>
      </c>
      <c r="G566" s="1"/>
      <c r="H566" s="1"/>
    </row>
    <row r="567" spans="2:8" x14ac:dyDescent="0.25">
      <c r="B567">
        <v>495.81935925863218</v>
      </c>
      <c r="C567" s="43">
        <f t="shared" si="16"/>
        <v>991.63871851726435</v>
      </c>
      <c r="D567" s="1">
        <f t="shared" si="17"/>
        <v>1500</v>
      </c>
      <c r="G567" s="1"/>
      <c r="H567" s="1"/>
    </row>
    <row r="568" spans="2:8" x14ac:dyDescent="0.25">
      <c r="B568">
        <v>1172.1259450326324</v>
      </c>
      <c r="C568" s="43">
        <f t="shared" si="16"/>
        <v>2344.2518900652649</v>
      </c>
      <c r="D568" s="1">
        <f t="shared" si="17"/>
        <v>2102.4408076142136</v>
      </c>
      <c r="G568" s="1"/>
      <c r="H568" s="1"/>
    </row>
    <row r="569" spans="2:8" x14ac:dyDescent="0.25">
      <c r="B569">
        <v>1177.4893091854319</v>
      </c>
      <c r="C569" s="43">
        <f t="shared" si="16"/>
        <v>2354.9786183708638</v>
      </c>
      <c r="D569" s="1">
        <f t="shared" si="17"/>
        <v>2121.2125821490117</v>
      </c>
      <c r="G569" s="1"/>
      <c r="H569" s="1"/>
    </row>
    <row r="570" spans="2:8" x14ac:dyDescent="0.25">
      <c r="B570">
        <v>1412.2150430751499</v>
      </c>
      <c r="C570" s="43">
        <f t="shared" si="16"/>
        <v>2824.4300861502998</v>
      </c>
      <c r="D570" s="1">
        <f t="shared" si="17"/>
        <v>2942.7526507630246</v>
      </c>
      <c r="G570" s="1"/>
      <c r="H570" s="1"/>
    </row>
    <row r="571" spans="2:8" x14ac:dyDescent="0.25">
      <c r="B571">
        <v>1277.1925078425847</v>
      </c>
      <c r="C571" s="43">
        <f t="shared" si="16"/>
        <v>2554.3850156851695</v>
      </c>
      <c r="D571" s="1">
        <f t="shared" si="17"/>
        <v>2470.1737774490466</v>
      </c>
      <c r="G571" s="1"/>
      <c r="H571" s="1"/>
    </row>
    <row r="572" spans="2:8" x14ac:dyDescent="0.25">
      <c r="B572">
        <v>1716.4547587356647</v>
      </c>
      <c r="C572" s="43">
        <f t="shared" si="16"/>
        <v>3432.9095174713293</v>
      </c>
      <c r="D572" s="1">
        <f t="shared" si="17"/>
        <v>4007.5916555748263</v>
      </c>
      <c r="G572" s="1"/>
      <c r="H572" s="1"/>
    </row>
    <row r="573" spans="2:8" x14ac:dyDescent="0.25">
      <c r="B573">
        <v>1903.0016672161873</v>
      </c>
      <c r="C573" s="43">
        <f t="shared" si="16"/>
        <v>3806.0033344323747</v>
      </c>
      <c r="D573" s="1">
        <f t="shared" si="17"/>
        <v>4660.5058352566557</v>
      </c>
      <c r="G573" s="1"/>
      <c r="H573" s="1"/>
    </row>
    <row r="574" spans="2:8" x14ac:dyDescent="0.25">
      <c r="B574">
        <v>1179.7902909905242</v>
      </c>
      <c r="C574" s="43">
        <f t="shared" si="16"/>
        <v>2359.5805819810485</v>
      </c>
      <c r="D574" s="1">
        <f t="shared" si="17"/>
        <v>2129.2660184668348</v>
      </c>
      <c r="G574" s="1"/>
      <c r="H574" s="1"/>
    </row>
    <row r="575" spans="2:8" x14ac:dyDescent="0.25">
      <c r="B575">
        <v>1821.1680988145526</v>
      </c>
      <c r="C575" s="43">
        <f t="shared" si="16"/>
        <v>3642.3361976291053</v>
      </c>
      <c r="D575" s="1">
        <f t="shared" si="17"/>
        <v>4374.0883458509343</v>
      </c>
      <c r="G575" s="1"/>
      <c r="H575" s="1"/>
    </row>
    <row r="576" spans="2:8" x14ac:dyDescent="0.25">
      <c r="B576">
        <v>998.3235811717459</v>
      </c>
      <c r="C576" s="43">
        <f t="shared" si="16"/>
        <v>1996.6471623434918</v>
      </c>
      <c r="D576" s="1">
        <f t="shared" si="17"/>
        <v>1500</v>
      </c>
      <c r="G576" s="1"/>
      <c r="H576" s="1"/>
    </row>
    <row r="577" spans="2:8" x14ac:dyDescent="0.25">
      <c r="B577">
        <v>1366.4437535965699</v>
      </c>
      <c r="C577" s="43">
        <f t="shared" si="16"/>
        <v>2732.8875071931398</v>
      </c>
      <c r="D577" s="1">
        <f t="shared" si="17"/>
        <v>2782.5531375879946</v>
      </c>
      <c r="G577" s="1"/>
      <c r="H577" s="1"/>
    </row>
    <row r="578" spans="2:8" x14ac:dyDescent="0.25">
      <c r="B578">
        <v>367.05834716605023</v>
      </c>
      <c r="C578" s="43">
        <f t="shared" si="16"/>
        <v>734.11669433210045</v>
      </c>
      <c r="D578" s="1">
        <f t="shared" si="17"/>
        <v>1500</v>
      </c>
      <c r="G578" s="1"/>
      <c r="H578" s="1"/>
    </row>
    <row r="579" spans="2:8" x14ac:dyDescent="0.25">
      <c r="B579">
        <v>941.57973379088799</v>
      </c>
      <c r="C579" s="43">
        <f t="shared" si="16"/>
        <v>1883.159467581776</v>
      </c>
      <c r="D579" s="1">
        <f t="shared" si="17"/>
        <v>1500</v>
      </c>
      <c r="G579" s="1"/>
      <c r="H579" s="1"/>
    </row>
    <row r="580" spans="2:8" x14ac:dyDescent="0.25">
      <c r="B580">
        <v>971.6468748877669</v>
      </c>
      <c r="C580" s="43">
        <f t="shared" si="16"/>
        <v>1943.2937497755338</v>
      </c>
      <c r="D580" s="1">
        <f t="shared" si="17"/>
        <v>1500</v>
      </c>
      <c r="G580" s="1"/>
      <c r="H580" s="1"/>
    </row>
    <row r="581" spans="2:8" x14ac:dyDescent="0.25">
      <c r="B581">
        <v>949.90941377665149</v>
      </c>
      <c r="C581" s="43">
        <f t="shared" si="16"/>
        <v>1899.818827553303</v>
      </c>
      <c r="D581" s="1">
        <f t="shared" si="17"/>
        <v>1500</v>
      </c>
      <c r="G581" s="1"/>
      <c r="H581" s="1"/>
    </row>
    <row r="582" spans="2:8" x14ac:dyDescent="0.25">
      <c r="B582">
        <v>1293.2893123718823</v>
      </c>
      <c r="C582" s="43">
        <f t="shared" si="16"/>
        <v>2586.5786247437645</v>
      </c>
      <c r="D582" s="1">
        <f t="shared" si="17"/>
        <v>2526.5125933015879</v>
      </c>
      <c r="G582" s="1"/>
      <c r="H582" s="1"/>
    </row>
    <row r="583" spans="2:8" x14ac:dyDescent="0.25">
      <c r="B583">
        <v>1362.7563096463855</v>
      </c>
      <c r="C583" s="43">
        <f t="shared" si="16"/>
        <v>2725.512619292771</v>
      </c>
      <c r="D583" s="1">
        <f t="shared" si="17"/>
        <v>2769.6470837623492</v>
      </c>
      <c r="G583" s="1"/>
      <c r="H583" s="1"/>
    </row>
    <row r="584" spans="2:8" x14ac:dyDescent="0.25">
      <c r="B584">
        <v>1173.7141888091282</v>
      </c>
      <c r="C584" s="43">
        <f t="shared" si="16"/>
        <v>2347.4283776182565</v>
      </c>
      <c r="D584" s="1">
        <f t="shared" si="17"/>
        <v>2107.9996608319489</v>
      </c>
      <c r="G584" s="1"/>
      <c r="H584" s="1"/>
    </row>
    <row r="585" spans="2:8" x14ac:dyDescent="0.25">
      <c r="B585">
        <v>957.54187739777262</v>
      </c>
      <c r="C585" s="43">
        <f t="shared" si="16"/>
        <v>1915.0837547955452</v>
      </c>
      <c r="D585" s="1">
        <f t="shared" si="17"/>
        <v>1500</v>
      </c>
      <c r="G585" s="1"/>
      <c r="H585" s="1"/>
    </row>
    <row r="586" spans="2:8" x14ac:dyDescent="0.25">
      <c r="B586">
        <v>837.94032505585346</v>
      </c>
      <c r="C586" s="43">
        <f t="shared" si="16"/>
        <v>1675.8806501117069</v>
      </c>
      <c r="D586" s="1">
        <f t="shared" si="17"/>
        <v>1500</v>
      </c>
      <c r="G586" s="1"/>
      <c r="H586" s="1"/>
    </row>
    <row r="587" spans="2:8" x14ac:dyDescent="0.25">
      <c r="B587">
        <v>1588.7743900578353</v>
      </c>
      <c r="C587" s="43">
        <f t="shared" si="16"/>
        <v>3177.5487801156705</v>
      </c>
      <c r="D587" s="1">
        <f t="shared" si="17"/>
        <v>3560.7103652024234</v>
      </c>
      <c r="G587" s="1"/>
      <c r="H587" s="1"/>
    </row>
    <row r="588" spans="2:8" x14ac:dyDescent="0.25">
      <c r="B588">
        <v>819.24720760190394</v>
      </c>
      <c r="C588" s="43">
        <f t="shared" si="16"/>
        <v>1638.4944152038079</v>
      </c>
      <c r="D588" s="1">
        <f t="shared" si="17"/>
        <v>1500</v>
      </c>
      <c r="G588" s="1"/>
      <c r="H588" s="1"/>
    </row>
    <row r="589" spans="2:8" x14ac:dyDescent="0.25">
      <c r="B589">
        <v>1035.5994864142413</v>
      </c>
      <c r="C589" s="43">
        <f t="shared" si="16"/>
        <v>2071.1989728284825</v>
      </c>
      <c r="D589" s="1">
        <f t="shared" si="17"/>
        <v>1624.5982024498444</v>
      </c>
      <c r="G589" s="1"/>
      <c r="H589" s="1"/>
    </row>
    <row r="590" spans="2:8" x14ac:dyDescent="0.25">
      <c r="B590">
        <v>1139.0748689166794</v>
      </c>
      <c r="C590" s="43">
        <f t="shared" si="16"/>
        <v>2278.1497378333588</v>
      </c>
      <c r="D590" s="1">
        <f t="shared" si="17"/>
        <v>1986.7620412083779</v>
      </c>
      <c r="G590" s="1"/>
      <c r="H590" s="1"/>
    </row>
    <row r="591" spans="2:8" x14ac:dyDescent="0.25">
      <c r="B591">
        <v>1089.8015564465022</v>
      </c>
      <c r="C591" s="43">
        <f t="shared" si="16"/>
        <v>2179.6031128930044</v>
      </c>
      <c r="D591" s="1">
        <f t="shared" si="17"/>
        <v>1814.3054475627578</v>
      </c>
      <c r="G591" s="1"/>
      <c r="H591" s="1"/>
    </row>
    <row r="592" spans="2:8" x14ac:dyDescent="0.25">
      <c r="B592">
        <v>704.60755367213278</v>
      </c>
      <c r="C592" s="43">
        <f t="shared" si="16"/>
        <v>1409.2151073442656</v>
      </c>
      <c r="D592" s="1">
        <f t="shared" si="17"/>
        <v>1500</v>
      </c>
      <c r="G592" s="1"/>
      <c r="H592" s="1"/>
    </row>
    <row r="593" spans="2:8" x14ac:dyDescent="0.25">
      <c r="B593">
        <v>431.92044429935049</v>
      </c>
      <c r="C593" s="43">
        <f t="shared" si="16"/>
        <v>863.84088859870099</v>
      </c>
      <c r="D593" s="1">
        <f t="shared" si="17"/>
        <v>1500</v>
      </c>
      <c r="G593" s="1"/>
      <c r="H593" s="1"/>
    </row>
    <row r="594" spans="2:8" x14ac:dyDescent="0.25">
      <c r="B594">
        <v>1293.7524452639191</v>
      </c>
      <c r="C594" s="43">
        <f t="shared" ref="C594:C657" si="18">B594*2</f>
        <v>2587.5048905278381</v>
      </c>
      <c r="D594" s="1">
        <f t="shared" ref="D594:D657" si="19">IF(B594&lt;=1000,1500,1500+(B594-1000)*3.5)</f>
        <v>2528.1335584237167</v>
      </c>
      <c r="G594" s="1"/>
      <c r="H594" s="1"/>
    </row>
    <row r="595" spans="2:8" x14ac:dyDescent="0.25">
      <c r="B595">
        <v>1455.244451591454</v>
      </c>
      <c r="C595" s="43">
        <f t="shared" si="18"/>
        <v>2910.488903182908</v>
      </c>
      <c r="D595" s="1">
        <f t="shared" si="19"/>
        <v>3093.3555805700889</v>
      </c>
      <c r="G595" s="1"/>
      <c r="H595" s="1"/>
    </row>
    <row r="596" spans="2:8" x14ac:dyDescent="0.25">
      <c r="B596">
        <v>995.25868179745157</v>
      </c>
      <c r="C596" s="43">
        <f t="shared" si="18"/>
        <v>1990.5173635949031</v>
      </c>
      <c r="D596" s="1">
        <f t="shared" si="19"/>
        <v>1500</v>
      </c>
      <c r="G596" s="1"/>
      <c r="H596" s="1"/>
    </row>
    <row r="597" spans="2:8" x14ac:dyDescent="0.25">
      <c r="B597">
        <v>1740.4134958099457</v>
      </c>
      <c r="C597" s="43">
        <f t="shared" si="18"/>
        <v>3480.8269916198915</v>
      </c>
      <c r="D597" s="1">
        <f t="shared" si="19"/>
        <v>4091.4472353348101</v>
      </c>
      <c r="G597" s="1"/>
      <c r="H597" s="1"/>
    </row>
    <row r="598" spans="2:8" x14ac:dyDescent="0.25">
      <c r="B598">
        <v>1175.0196865990001</v>
      </c>
      <c r="C598" s="43">
        <f t="shared" si="18"/>
        <v>2350.0393731980002</v>
      </c>
      <c r="D598" s="1">
        <f t="shared" si="19"/>
        <v>2112.5689030965004</v>
      </c>
      <c r="G598" s="1"/>
      <c r="H598" s="1"/>
    </row>
    <row r="599" spans="2:8" x14ac:dyDescent="0.25">
      <c r="B599">
        <v>1512.6997784876148</v>
      </c>
      <c r="C599" s="43">
        <f t="shared" si="18"/>
        <v>3025.3995569752296</v>
      </c>
      <c r="D599" s="1">
        <f t="shared" si="19"/>
        <v>3294.4492247066519</v>
      </c>
      <c r="G599" s="1"/>
      <c r="H599" s="1"/>
    </row>
    <row r="600" spans="2:8" x14ac:dyDescent="0.25">
      <c r="B600">
        <v>1098.5549359077704</v>
      </c>
      <c r="C600" s="43">
        <f t="shared" si="18"/>
        <v>2197.1098718155408</v>
      </c>
      <c r="D600" s="1">
        <f t="shared" si="19"/>
        <v>1844.9422756771964</v>
      </c>
      <c r="G600" s="1"/>
      <c r="H600" s="1"/>
    </row>
    <row r="601" spans="2:8" x14ac:dyDescent="0.25">
      <c r="B601">
        <v>867.41932094020012</v>
      </c>
      <c r="C601" s="43">
        <f t="shared" si="18"/>
        <v>1734.8386418804002</v>
      </c>
      <c r="D601" s="1">
        <f t="shared" si="19"/>
        <v>1500</v>
      </c>
      <c r="G601" s="1"/>
      <c r="H601" s="1"/>
    </row>
    <row r="602" spans="2:8" x14ac:dyDescent="0.25">
      <c r="B602">
        <v>2075.4146324009635</v>
      </c>
      <c r="C602" s="43">
        <f t="shared" si="18"/>
        <v>4150.8292648019269</v>
      </c>
      <c r="D602" s="1">
        <f t="shared" si="19"/>
        <v>5263.9512134033721</v>
      </c>
      <c r="G602" s="1"/>
      <c r="H602" s="1"/>
    </row>
    <row r="603" spans="2:8" x14ac:dyDescent="0.25">
      <c r="B603">
        <v>816.20999552006833</v>
      </c>
      <c r="C603" s="43">
        <f t="shared" si="18"/>
        <v>1632.4199910401367</v>
      </c>
      <c r="D603" s="1">
        <f t="shared" si="19"/>
        <v>1500</v>
      </c>
      <c r="G603" s="1"/>
      <c r="H603" s="1"/>
    </row>
    <row r="604" spans="2:8" x14ac:dyDescent="0.25">
      <c r="B604">
        <v>1081.3930096276745</v>
      </c>
      <c r="C604" s="43">
        <f t="shared" si="18"/>
        <v>2162.7860192553489</v>
      </c>
      <c r="D604" s="1">
        <f t="shared" si="19"/>
        <v>1784.8755336968607</v>
      </c>
      <c r="G604" s="1"/>
      <c r="H604" s="1"/>
    </row>
    <row r="605" spans="2:8" x14ac:dyDescent="0.25">
      <c r="B605">
        <v>1441.5417588509736</v>
      </c>
      <c r="C605" s="43">
        <f t="shared" si="18"/>
        <v>2883.0835177019471</v>
      </c>
      <c r="D605" s="1">
        <f t="shared" si="19"/>
        <v>3045.3961559784075</v>
      </c>
      <c r="G605" s="1"/>
      <c r="H605" s="1"/>
    </row>
    <row r="606" spans="2:8" x14ac:dyDescent="0.25">
      <c r="B606">
        <v>581.2220713608549</v>
      </c>
      <c r="C606" s="43">
        <f t="shared" si="18"/>
        <v>1162.4441427217098</v>
      </c>
      <c r="D606" s="1">
        <f t="shared" si="19"/>
        <v>1500</v>
      </c>
      <c r="G606" s="1"/>
      <c r="H606" s="1"/>
    </row>
    <row r="607" spans="2:8" x14ac:dyDescent="0.25">
      <c r="B607">
        <v>1515.8418666772486</v>
      </c>
      <c r="C607" s="43">
        <f t="shared" si="18"/>
        <v>3031.6837333544972</v>
      </c>
      <c r="D607" s="1">
        <f t="shared" si="19"/>
        <v>3305.4465333703702</v>
      </c>
      <c r="G607" s="1"/>
      <c r="H607" s="1"/>
    </row>
    <row r="608" spans="2:8" x14ac:dyDescent="0.25">
      <c r="B608">
        <v>1055.7143043855031</v>
      </c>
      <c r="C608" s="43">
        <f t="shared" si="18"/>
        <v>2111.4286087710061</v>
      </c>
      <c r="D608" s="1">
        <f t="shared" si="19"/>
        <v>1695.0000653492607</v>
      </c>
      <c r="G608" s="1"/>
      <c r="H608" s="1"/>
    </row>
    <row r="609" spans="2:8" x14ac:dyDescent="0.25">
      <c r="B609">
        <v>1057.2173887624667</v>
      </c>
      <c r="C609" s="43">
        <f t="shared" si="18"/>
        <v>2114.4347775249335</v>
      </c>
      <c r="D609" s="1">
        <f t="shared" si="19"/>
        <v>1700.2608606686335</v>
      </c>
      <c r="G609" s="1"/>
      <c r="H609" s="1"/>
    </row>
    <row r="610" spans="2:8" x14ac:dyDescent="0.25">
      <c r="B610">
        <v>1171.2475027537148</v>
      </c>
      <c r="C610" s="43">
        <f t="shared" si="18"/>
        <v>2342.4950055074296</v>
      </c>
      <c r="D610" s="1">
        <f t="shared" si="19"/>
        <v>2099.3662596380018</v>
      </c>
      <c r="G610" s="1"/>
      <c r="H610" s="1"/>
    </row>
    <row r="611" spans="2:8" x14ac:dyDescent="0.25">
      <c r="B611">
        <v>1261.8063438197278</v>
      </c>
      <c r="C611" s="43">
        <f t="shared" si="18"/>
        <v>2523.6126876394555</v>
      </c>
      <c r="D611" s="1">
        <f t="shared" si="19"/>
        <v>2416.3222033690472</v>
      </c>
      <c r="G611" s="1"/>
      <c r="H611" s="1"/>
    </row>
    <row r="612" spans="2:8" x14ac:dyDescent="0.25">
      <c r="B612">
        <v>1658.2409678279073</v>
      </c>
      <c r="C612" s="43">
        <f t="shared" si="18"/>
        <v>3316.4819356558146</v>
      </c>
      <c r="D612" s="1">
        <f t="shared" si="19"/>
        <v>3803.8433873976755</v>
      </c>
      <c r="G612" s="1"/>
      <c r="H612" s="1"/>
    </row>
    <row r="613" spans="2:8" x14ac:dyDescent="0.25">
      <c r="B613">
        <v>1701.8056639984134</v>
      </c>
      <c r="C613" s="43">
        <f t="shared" si="18"/>
        <v>3403.6113279968267</v>
      </c>
      <c r="D613" s="1">
        <f t="shared" si="19"/>
        <v>3956.3198239944468</v>
      </c>
      <c r="G613" s="1"/>
      <c r="H613" s="1"/>
    </row>
    <row r="614" spans="2:8" x14ac:dyDescent="0.25">
      <c r="B614">
        <v>1660.7009418124217</v>
      </c>
      <c r="C614" s="43">
        <f t="shared" si="18"/>
        <v>3321.4018836248433</v>
      </c>
      <c r="D614" s="1">
        <f t="shared" si="19"/>
        <v>3812.4532963434758</v>
      </c>
      <c r="G614" s="1"/>
      <c r="H614" s="1"/>
    </row>
    <row r="615" spans="2:8" x14ac:dyDescent="0.25">
      <c r="B615">
        <v>975.47653084012563</v>
      </c>
      <c r="C615" s="43">
        <f t="shared" si="18"/>
        <v>1950.9530616802513</v>
      </c>
      <c r="D615" s="1">
        <f t="shared" si="19"/>
        <v>1500</v>
      </c>
      <c r="G615" s="1"/>
      <c r="H615" s="1"/>
    </row>
    <row r="616" spans="2:8" x14ac:dyDescent="0.25">
      <c r="B616">
        <v>714.38284592778655</v>
      </c>
      <c r="C616" s="43">
        <f t="shared" si="18"/>
        <v>1428.7656918555731</v>
      </c>
      <c r="D616" s="1">
        <f t="shared" si="19"/>
        <v>1500</v>
      </c>
      <c r="G616" s="1"/>
      <c r="H616" s="1"/>
    </row>
    <row r="617" spans="2:8" x14ac:dyDescent="0.25">
      <c r="B617">
        <v>1500.4871654867311</v>
      </c>
      <c r="C617" s="43">
        <f t="shared" si="18"/>
        <v>3000.9743309734622</v>
      </c>
      <c r="D617" s="1">
        <f t="shared" si="19"/>
        <v>3251.7050792035589</v>
      </c>
      <c r="G617" s="1"/>
      <c r="H617" s="1"/>
    </row>
    <row r="618" spans="2:8" x14ac:dyDescent="0.25">
      <c r="B618">
        <v>1067.8765768546436</v>
      </c>
      <c r="C618" s="43">
        <f t="shared" si="18"/>
        <v>2135.7531537092873</v>
      </c>
      <c r="D618" s="1">
        <f t="shared" si="19"/>
        <v>1737.5680189912528</v>
      </c>
      <c r="G618" s="1"/>
      <c r="H618" s="1"/>
    </row>
    <row r="619" spans="2:8" x14ac:dyDescent="0.25">
      <c r="B619">
        <v>1735.3123219266417</v>
      </c>
      <c r="C619" s="43">
        <f t="shared" si="18"/>
        <v>3470.6246438532835</v>
      </c>
      <c r="D619" s="1">
        <f t="shared" si="19"/>
        <v>4073.5931267432461</v>
      </c>
      <c r="G619" s="1"/>
      <c r="H619" s="1"/>
    </row>
    <row r="620" spans="2:8" x14ac:dyDescent="0.25">
      <c r="B620">
        <v>1290.0528356852301</v>
      </c>
      <c r="C620" s="43">
        <f t="shared" si="18"/>
        <v>2580.1056713704602</v>
      </c>
      <c r="D620" s="1">
        <f t="shared" si="19"/>
        <v>2515.1849248983053</v>
      </c>
      <c r="G620" s="1"/>
      <c r="H620" s="1"/>
    </row>
    <row r="621" spans="2:8" x14ac:dyDescent="0.25">
      <c r="B621">
        <v>1416.7469494453253</v>
      </c>
      <c r="C621" s="43">
        <f t="shared" si="18"/>
        <v>2833.4938988906506</v>
      </c>
      <c r="D621" s="1">
        <f t="shared" si="19"/>
        <v>2958.6143230586385</v>
      </c>
      <c r="G621" s="1"/>
      <c r="H621" s="1"/>
    </row>
    <row r="622" spans="2:8" x14ac:dyDescent="0.25">
      <c r="B622">
        <v>1593.7723658510658</v>
      </c>
      <c r="C622" s="43">
        <f t="shared" si="18"/>
        <v>3187.5447317021317</v>
      </c>
      <c r="D622" s="1">
        <f t="shared" si="19"/>
        <v>3578.2032804787304</v>
      </c>
      <c r="G622" s="1"/>
      <c r="H622" s="1"/>
    </row>
    <row r="623" spans="2:8" x14ac:dyDescent="0.25">
      <c r="B623">
        <v>1905.9482663408853</v>
      </c>
      <c r="C623" s="43">
        <f t="shared" si="18"/>
        <v>3811.8965326817706</v>
      </c>
      <c r="D623" s="1">
        <f t="shared" si="19"/>
        <v>4670.8189321930986</v>
      </c>
      <c r="G623" s="1"/>
      <c r="H623" s="1"/>
    </row>
    <row r="624" spans="2:8" x14ac:dyDescent="0.25">
      <c r="B624">
        <v>1075.3609554115537</v>
      </c>
      <c r="C624" s="43">
        <f t="shared" si="18"/>
        <v>2150.7219108231075</v>
      </c>
      <c r="D624" s="1">
        <f t="shared" si="19"/>
        <v>1763.7633439404381</v>
      </c>
      <c r="G624" s="1"/>
      <c r="H624" s="1"/>
    </row>
    <row r="625" spans="2:8" x14ac:dyDescent="0.25">
      <c r="B625">
        <v>956.58792432124028</v>
      </c>
      <c r="C625" s="43">
        <f t="shared" si="18"/>
        <v>1913.1758486424806</v>
      </c>
      <c r="D625" s="1">
        <f t="shared" si="19"/>
        <v>1500</v>
      </c>
      <c r="G625" s="1"/>
      <c r="H625" s="1"/>
    </row>
    <row r="626" spans="2:8" x14ac:dyDescent="0.25">
      <c r="B626">
        <v>923.30947680358076</v>
      </c>
      <c r="C626" s="43">
        <f t="shared" si="18"/>
        <v>1846.6189536071615</v>
      </c>
      <c r="D626" s="1">
        <f t="shared" si="19"/>
        <v>1500</v>
      </c>
      <c r="G626" s="1"/>
      <c r="H626" s="1"/>
    </row>
    <row r="627" spans="2:8" x14ac:dyDescent="0.25">
      <c r="B627">
        <v>709.67097215662943</v>
      </c>
      <c r="C627" s="43">
        <f t="shared" si="18"/>
        <v>1419.3419443132589</v>
      </c>
      <c r="D627" s="1">
        <f t="shared" si="19"/>
        <v>1500</v>
      </c>
      <c r="G627" s="1"/>
      <c r="H627" s="1"/>
    </row>
    <row r="628" spans="2:8" x14ac:dyDescent="0.25">
      <c r="B628">
        <v>768.71370382042369</v>
      </c>
      <c r="C628" s="43">
        <f t="shared" si="18"/>
        <v>1537.4274076408474</v>
      </c>
      <c r="D628" s="1">
        <f t="shared" si="19"/>
        <v>1500</v>
      </c>
      <c r="G628" s="1"/>
      <c r="H628" s="1"/>
    </row>
    <row r="629" spans="2:8" x14ac:dyDescent="0.25">
      <c r="B629">
        <v>1082.3062707743811</v>
      </c>
      <c r="C629" s="43">
        <f t="shared" si="18"/>
        <v>2164.6125415487622</v>
      </c>
      <c r="D629" s="1">
        <f t="shared" si="19"/>
        <v>1788.0719477103339</v>
      </c>
      <c r="G629" s="1"/>
      <c r="H629" s="1"/>
    </row>
    <row r="630" spans="2:8" x14ac:dyDescent="0.25">
      <c r="B630">
        <v>1331.6416659848182</v>
      </c>
      <c r="C630" s="43">
        <f t="shared" si="18"/>
        <v>2663.2833319696365</v>
      </c>
      <c r="D630" s="1">
        <f t="shared" si="19"/>
        <v>2660.7458309468639</v>
      </c>
      <c r="G630" s="1"/>
      <c r="H630" s="1"/>
    </row>
    <row r="631" spans="2:8" x14ac:dyDescent="0.25">
      <c r="B631">
        <v>927.13703523378354</v>
      </c>
      <c r="C631" s="43">
        <f t="shared" si="18"/>
        <v>1854.2740704675671</v>
      </c>
      <c r="D631" s="1">
        <f t="shared" si="19"/>
        <v>1500</v>
      </c>
      <c r="G631" s="1"/>
      <c r="H631" s="1"/>
    </row>
    <row r="632" spans="2:8" x14ac:dyDescent="0.25">
      <c r="B632">
        <v>1608.4013243756199</v>
      </c>
      <c r="C632" s="43">
        <f t="shared" si="18"/>
        <v>3216.8026487512398</v>
      </c>
      <c r="D632" s="1">
        <f t="shared" si="19"/>
        <v>3629.4046353146696</v>
      </c>
      <c r="G632" s="1"/>
      <c r="H632" s="1"/>
    </row>
    <row r="633" spans="2:8" x14ac:dyDescent="0.25">
      <c r="B633">
        <v>640.51986171881435</v>
      </c>
      <c r="C633" s="43">
        <f t="shared" si="18"/>
        <v>1281.0397234376287</v>
      </c>
      <c r="D633" s="1">
        <f t="shared" si="19"/>
        <v>1500</v>
      </c>
      <c r="G633" s="1"/>
      <c r="H633" s="1"/>
    </row>
    <row r="634" spans="2:8" x14ac:dyDescent="0.25">
      <c r="B634">
        <v>1162.6090675065934</v>
      </c>
      <c r="C634" s="43">
        <f t="shared" si="18"/>
        <v>2325.2181350131868</v>
      </c>
      <c r="D634" s="1">
        <f t="shared" si="19"/>
        <v>2069.131736273077</v>
      </c>
      <c r="G634" s="1"/>
      <c r="H634" s="1"/>
    </row>
    <row r="635" spans="2:8" x14ac:dyDescent="0.25">
      <c r="B635">
        <v>1005.5675836895825</v>
      </c>
      <c r="C635" s="43">
        <f t="shared" si="18"/>
        <v>2011.1351673791651</v>
      </c>
      <c r="D635" s="1">
        <f t="shared" si="19"/>
        <v>1519.4865429135389</v>
      </c>
      <c r="G635" s="1"/>
      <c r="H635" s="1"/>
    </row>
    <row r="636" spans="2:8" x14ac:dyDescent="0.25">
      <c r="B636">
        <v>1039.5801639618294</v>
      </c>
      <c r="C636" s="43">
        <f t="shared" si="18"/>
        <v>2079.1603279236588</v>
      </c>
      <c r="D636" s="1">
        <f t="shared" si="19"/>
        <v>1638.5305738664028</v>
      </c>
      <c r="G636" s="1"/>
      <c r="H636" s="1"/>
    </row>
    <row r="637" spans="2:8" x14ac:dyDescent="0.25">
      <c r="B637">
        <v>884.63829982293828</v>
      </c>
      <c r="C637" s="43">
        <f t="shared" si="18"/>
        <v>1769.2765996458766</v>
      </c>
      <c r="D637" s="1">
        <f t="shared" si="19"/>
        <v>1500</v>
      </c>
      <c r="G637" s="1"/>
      <c r="H637" s="1"/>
    </row>
    <row r="638" spans="2:8" x14ac:dyDescent="0.25">
      <c r="B638">
        <v>1274.0420295643271</v>
      </c>
      <c r="C638" s="43">
        <f t="shared" si="18"/>
        <v>2548.0840591286542</v>
      </c>
      <c r="D638" s="1">
        <f t="shared" si="19"/>
        <v>2459.1471034751448</v>
      </c>
      <c r="G638" s="1"/>
      <c r="H638" s="1"/>
    </row>
    <row r="639" spans="2:8" x14ac:dyDescent="0.25">
      <c r="B639">
        <v>1267.7712773268577</v>
      </c>
      <c r="C639" s="43">
        <f t="shared" si="18"/>
        <v>2535.5425546537153</v>
      </c>
      <c r="D639" s="1">
        <f t="shared" si="19"/>
        <v>2437.1994706440018</v>
      </c>
      <c r="G639" s="1"/>
      <c r="H639" s="1"/>
    </row>
    <row r="640" spans="2:8" x14ac:dyDescent="0.25">
      <c r="B640">
        <v>1113.6541588996915</v>
      </c>
      <c r="C640" s="43">
        <f t="shared" si="18"/>
        <v>2227.3083177993831</v>
      </c>
      <c r="D640" s="1">
        <f t="shared" si="19"/>
        <v>1897.7895561489204</v>
      </c>
      <c r="G640" s="1"/>
      <c r="H640" s="1"/>
    </row>
    <row r="641" spans="2:8" x14ac:dyDescent="0.25">
      <c r="B641">
        <v>1568.3285830903624</v>
      </c>
      <c r="C641" s="43">
        <f t="shared" si="18"/>
        <v>3136.6571661807247</v>
      </c>
      <c r="D641" s="1">
        <f t="shared" si="19"/>
        <v>3489.1500408162683</v>
      </c>
      <c r="G641" s="1"/>
      <c r="H641" s="1"/>
    </row>
    <row r="642" spans="2:8" x14ac:dyDescent="0.25">
      <c r="B642">
        <v>978.36104330900707</v>
      </c>
      <c r="C642" s="43">
        <f t="shared" si="18"/>
        <v>1956.7220866180141</v>
      </c>
      <c r="D642" s="1">
        <f t="shared" si="19"/>
        <v>1500</v>
      </c>
      <c r="G642" s="1"/>
      <c r="H642" s="1"/>
    </row>
    <row r="643" spans="2:8" x14ac:dyDescent="0.25">
      <c r="B643">
        <v>889.53769207483856</v>
      </c>
      <c r="C643" s="43">
        <f t="shared" si="18"/>
        <v>1779.0753841496771</v>
      </c>
      <c r="D643" s="1">
        <f t="shared" si="19"/>
        <v>1500</v>
      </c>
      <c r="G643" s="1"/>
      <c r="H643" s="1"/>
    </row>
    <row r="644" spans="2:8" x14ac:dyDescent="0.25">
      <c r="B644">
        <v>947.52998464292614</v>
      </c>
      <c r="C644" s="43">
        <f t="shared" si="18"/>
        <v>1895.0599692858523</v>
      </c>
      <c r="D644" s="1">
        <f t="shared" si="19"/>
        <v>1500</v>
      </c>
      <c r="G644" s="1"/>
      <c r="H644" s="1"/>
    </row>
    <row r="645" spans="2:8" x14ac:dyDescent="0.25">
      <c r="B645">
        <v>915.82132270678994</v>
      </c>
      <c r="C645" s="43">
        <f t="shared" si="18"/>
        <v>1831.6426454135799</v>
      </c>
      <c r="D645" s="1">
        <f t="shared" si="19"/>
        <v>1500</v>
      </c>
      <c r="G645" s="1"/>
      <c r="H645" s="1"/>
    </row>
    <row r="646" spans="2:8" x14ac:dyDescent="0.25">
      <c r="B646">
        <v>1510.1961760422564</v>
      </c>
      <c r="C646" s="43">
        <f t="shared" si="18"/>
        <v>3020.3923520845128</v>
      </c>
      <c r="D646" s="1">
        <f t="shared" si="19"/>
        <v>3285.6866161478974</v>
      </c>
      <c r="G646" s="1"/>
      <c r="H646" s="1"/>
    </row>
    <row r="647" spans="2:8" x14ac:dyDescent="0.25">
      <c r="B647">
        <v>1221.4705732561124</v>
      </c>
      <c r="C647" s="43">
        <f t="shared" si="18"/>
        <v>2442.9411465122248</v>
      </c>
      <c r="D647" s="1">
        <f t="shared" si="19"/>
        <v>2275.1470063963934</v>
      </c>
      <c r="G647" s="1"/>
      <c r="H647" s="1"/>
    </row>
    <row r="648" spans="2:8" x14ac:dyDescent="0.25">
      <c r="B648">
        <v>1428.9020903391356</v>
      </c>
      <c r="C648" s="43">
        <f t="shared" si="18"/>
        <v>2857.8041806782712</v>
      </c>
      <c r="D648" s="1">
        <f t="shared" si="19"/>
        <v>3001.1573161869746</v>
      </c>
      <c r="G648" s="1"/>
      <c r="H648" s="1"/>
    </row>
    <row r="649" spans="2:8" x14ac:dyDescent="0.25">
      <c r="B649">
        <v>2127.5942715704441</v>
      </c>
      <c r="C649" s="43">
        <f t="shared" si="18"/>
        <v>4255.1885431408882</v>
      </c>
      <c r="D649" s="1">
        <f t="shared" si="19"/>
        <v>5446.5799504965544</v>
      </c>
      <c r="G649" s="1"/>
      <c r="H649" s="1"/>
    </row>
    <row r="650" spans="2:8" x14ac:dyDescent="0.25">
      <c r="B650">
        <v>797.93806051503634</v>
      </c>
      <c r="C650" s="43">
        <f t="shared" si="18"/>
        <v>1595.8761210300727</v>
      </c>
      <c r="D650" s="1">
        <f t="shared" si="19"/>
        <v>1500</v>
      </c>
      <c r="G650" s="1"/>
      <c r="H650" s="1"/>
    </row>
    <row r="651" spans="2:8" x14ac:dyDescent="0.25">
      <c r="B651">
        <v>612.29224755271571</v>
      </c>
      <c r="C651" s="43">
        <f t="shared" si="18"/>
        <v>1224.5844951054314</v>
      </c>
      <c r="D651" s="1">
        <f t="shared" si="19"/>
        <v>1500</v>
      </c>
      <c r="G651" s="1"/>
      <c r="H651" s="1"/>
    </row>
    <row r="652" spans="2:8" x14ac:dyDescent="0.25">
      <c r="B652">
        <v>1545.7223283022468</v>
      </c>
      <c r="C652" s="43">
        <f t="shared" si="18"/>
        <v>3091.4446566044935</v>
      </c>
      <c r="D652" s="1">
        <f t="shared" si="19"/>
        <v>3410.0281490578636</v>
      </c>
      <c r="G652" s="1"/>
      <c r="H652" s="1"/>
    </row>
    <row r="653" spans="2:8" x14ac:dyDescent="0.25">
      <c r="B653">
        <v>613.53062463359674</v>
      </c>
      <c r="C653" s="43">
        <f t="shared" si="18"/>
        <v>1227.0612492671935</v>
      </c>
      <c r="D653" s="1">
        <f t="shared" si="19"/>
        <v>1500</v>
      </c>
      <c r="G653" s="1"/>
      <c r="H653" s="1"/>
    </row>
    <row r="654" spans="2:8" x14ac:dyDescent="0.25">
      <c r="B654">
        <v>709.33872464712476</v>
      </c>
      <c r="C654" s="43">
        <f t="shared" si="18"/>
        <v>1418.6774492942495</v>
      </c>
      <c r="D654" s="1">
        <f t="shared" si="19"/>
        <v>1500</v>
      </c>
      <c r="G654" s="1"/>
      <c r="H654" s="1"/>
    </row>
    <row r="655" spans="2:8" x14ac:dyDescent="0.25">
      <c r="B655">
        <v>830.15096677746624</v>
      </c>
      <c r="C655" s="43">
        <f t="shared" si="18"/>
        <v>1660.3019335549325</v>
      </c>
      <c r="D655" s="1">
        <f t="shared" si="19"/>
        <v>1500</v>
      </c>
      <c r="G655" s="1"/>
      <c r="H655" s="1"/>
    </row>
    <row r="656" spans="2:8" x14ac:dyDescent="0.25">
      <c r="B656">
        <v>493.24863610428292</v>
      </c>
      <c r="C656" s="43">
        <f t="shared" si="18"/>
        <v>986.49727220856585</v>
      </c>
      <c r="D656" s="1">
        <f t="shared" si="19"/>
        <v>1500</v>
      </c>
      <c r="G656" s="1"/>
      <c r="H656" s="1"/>
    </row>
    <row r="657" spans="2:8" x14ac:dyDescent="0.25">
      <c r="B657">
        <v>1260.8205084064248</v>
      </c>
      <c r="C657" s="43">
        <f t="shared" si="18"/>
        <v>2521.6410168128496</v>
      </c>
      <c r="D657" s="1">
        <f t="shared" si="19"/>
        <v>2412.8717794224867</v>
      </c>
      <c r="G657" s="1"/>
      <c r="H657" s="1"/>
    </row>
    <row r="658" spans="2:8" x14ac:dyDescent="0.25">
      <c r="B658">
        <v>516.85163342091255</v>
      </c>
      <c r="C658" s="43">
        <f t="shared" ref="C658:C721" si="20">B658*2</f>
        <v>1033.7032668418251</v>
      </c>
      <c r="D658" s="1">
        <f t="shared" ref="D658:D721" si="21">IF(B658&lt;=1000,1500,1500+(B658-1000)*3.5)</f>
        <v>1500</v>
      </c>
      <c r="G658" s="1"/>
      <c r="H658" s="1"/>
    </row>
    <row r="659" spans="2:8" x14ac:dyDescent="0.25">
      <c r="B659">
        <v>876.40804238736746</v>
      </c>
      <c r="C659" s="43">
        <f t="shared" si="20"/>
        <v>1752.8160847747349</v>
      </c>
      <c r="D659" s="1">
        <f t="shared" si="21"/>
        <v>1500</v>
      </c>
      <c r="G659" s="1"/>
      <c r="H659" s="1"/>
    </row>
    <row r="660" spans="2:8" x14ac:dyDescent="0.25">
      <c r="B660">
        <v>1501.8195115601993</v>
      </c>
      <c r="C660" s="43">
        <f t="shared" si="20"/>
        <v>3003.6390231203986</v>
      </c>
      <c r="D660" s="1">
        <f t="shared" si="21"/>
        <v>3256.3682904606976</v>
      </c>
      <c r="G660" s="1"/>
      <c r="H660" s="1"/>
    </row>
    <row r="661" spans="2:8" x14ac:dyDescent="0.25">
      <c r="B661">
        <v>1153.7873088230408</v>
      </c>
      <c r="C661" s="43">
        <f t="shared" si="20"/>
        <v>2307.5746176460816</v>
      </c>
      <c r="D661" s="1">
        <f t="shared" si="21"/>
        <v>2038.2555808806428</v>
      </c>
      <c r="G661" s="1"/>
      <c r="H661" s="1"/>
    </row>
    <row r="662" spans="2:8" x14ac:dyDescent="0.25">
      <c r="B662">
        <v>1150.3406604163611</v>
      </c>
      <c r="C662" s="43">
        <f t="shared" si="20"/>
        <v>2300.6813208327221</v>
      </c>
      <c r="D662" s="1">
        <f t="shared" si="21"/>
        <v>2026.1923114572637</v>
      </c>
      <c r="G662" s="1"/>
      <c r="H662" s="1"/>
    </row>
    <row r="663" spans="2:8" x14ac:dyDescent="0.25">
      <c r="B663">
        <v>1173.402497016752</v>
      </c>
      <c r="C663" s="43">
        <f t="shared" si="20"/>
        <v>2346.804994033504</v>
      </c>
      <c r="D663" s="1">
        <f t="shared" si="21"/>
        <v>2106.9087395586321</v>
      </c>
      <c r="G663" s="1"/>
      <c r="H663" s="1"/>
    </row>
    <row r="664" spans="2:8" x14ac:dyDescent="0.25">
      <c r="B664">
        <v>1199.7842916856025</v>
      </c>
      <c r="C664" s="43">
        <f t="shared" si="20"/>
        <v>2399.568583371205</v>
      </c>
      <c r="D664" s="1">
        <f t="shared" si="21"/>
        <v>2199.2450208996088</v>
      </c>
      <c r="G664" s="1"/>
      <c r="H664" s="1"/>
    </row>
    <row r="665" spans="2:8" x14ac:dyDescent="0.25">
      <c r="B665">
        <v>878.75726720204693</v>
      </c>
      <c r="C665" s="43">
        <f t="shared" si="20"/>
        <v>1757.5145344040939</v>
      </c>
      <c r="D665" s="1">
        <f t="shared" si="21"/>
        <v>1500</v>
      </c>
      <c r="G665" s="1"/>
      <c r="H665" s="1"/>
    </row>
    <row r="666" spans="2:8" x14ac:dyDescent="0.25">
      <c r="B666">
        <v>872.95552091865102</v>
      </c>
      <c r="C666" s="43">
        <f t="shared" si="20"/>
        <v>1745.911041837302</v>
      </c>
      <c r="D666" s="1">
        <f t="shared" si="21"/>
        <v>1500</v>
      </c>
      <c r="G666" s="1"/>
      <c r="H666" s="1"/>
    </row>
    <row r="667" spans="2:8" x14ac:dyDescent="0.25">
      <c r="B667">
        <v>1457.0911100975645</v>
      </c>
      <c r="C667" s="43">
        <f t="shared" si="20"/>
        <v>2914.182220195129</v>
      </c>
      <c r="D667" s="1">
        <f t="shared" si="21"/>
        <v>3099.8188853414758</v>
      </c>
      <c r="G667" s="1"/>
      <c r="H667" s="1"/>
    </row>
    <row r="668" spans="2:8" x14ac:dyDescent="0.25">
      <c r="B668">
        <v>660.90022599502117</v>
      </c>
      <c r="C668" s="43">
        <f t="shared" si="20"/>
        <v>1321.8004519900423</v>
      </c>
      <c r="D668" s="1">
        <f t="shared" si="21"/>
        <v>1500</v>
      </c>
      <c r="G668" s="1"/>
      <c r="H668" s="1"/>
    </row>
    <row r="669" spans="2:8" x14ac:dyDescent="0.25">
      <c r="B669">
        <v>1349.8896892372723</v>
      </c>
      <c r="C669" s="43">
        <f t="shared" si="20"/>
        <v>2699.7793784745445</v>
      </c>
      <c r="D669" s="1">
        <f t="shared" si="21"/>
        <v>2724.6139123304529</v>
      </c>
      <c r="G669" s="1"/>
      <c r="H669" s="1"/>
    </row>
    <row r="670" spans="2:8" x14ac:dyDescent="0.25">
      <c r="B670">
        <v>1030.3124720679189</v>
      </c>
      <c r="C670" s="43">
        <f t="shared" si="20"/>
        <v>2060.6249441358377</v>
      </c>
      <c r="D670" s="1">
        <f t="shared" si="21"/>
        <v>1606.093652237716</v>
      </c>
      <c r="G670" s="1"/>
      <c r="H670" s="1"/>
    </row>
    <row r="671" spans="2:8" x14ac:dyDescent="0.25">
      <c r="B671">
        <v>921.00220243202057</v>
      </c>
      <c r="C671" s="43">
        <f t="shared" si="20"/>
        <v>1842.0044048640411</v>
      </c>
      <c r="D671" s="1">
        <f t="shared" si="21"/>
        <v>1500</v>
      </c>
      <c r="G671" s="1"/>
      <c r="H671" s="1"/>
    </row>
    <row r="672" spans="2:8" x14ac:dyDescent="0.25">
      <c r="B672">
        <v>1849.7648768801009</v>
      </c>
      <c r="C672" s="43">
        <f t="shared" si="20"/>
        <v>3699.5297537602019</v>
      </c>
      <c r="D672" s="1">
        <f t="shared" si="21"/>
        <v>4474.1770690803532</v>
      </c>
      <c r="G672" s="1"/>
      <c r="H672" s="1"/>
    </row>
    <row r="673" spans="2:8" x14ac:dyDescent="0.25">
      <c r="B673">
        <v>604.65391086955788</v>
      </c>
      <c r="C673" s="43">
        <f t="shared" si="20"/>
        <v>1209.3078217391158</v>
      </c>
      <c r="D673" s="1">
        <f t="shared" si="21"/>
        <v>1500</v>
      </c>
      <c r="G673" s="1"/>
      <c r="H673" s="1"/>
    </row>
    <row r="674" spans="2:8" x14ac:dyDescent="0.25">
      <c r="B674">
        <v>1465.0608552813646</v>
      </c>
      <c r="C674" s="43">
        <f t="shared" si="20"/>
        <v>2930.1217105627293</v>
      </c>
      <c r="D674" s="1">
        <f t="shared" si="21"/>
        <v>3127.7129934847762</v>
      </c>
      <c r="G674" s="1"/>
      <c r="H674" s="1"/>
    </row>
    <row r="675" spans="2:8" x14ac:dyDescent="0.25">
      <c r="B675">
        <v>814.51771464463673</v>
      </c>
      <c r="C675" s="43">
        <f t="shared" si="20"/>
        <v>1629.0354292892735</v>
      </c>
      <c r="D675" s="1">
        <f t="shared" si="21"/>
        <v>1500</v>
      </c>
      <c r="G675" s="1"/>
      <c r="H675" s="1"/>
    </row>
    <row r="676" spans="2:8" x14ac:dyDescent="0.25">
      <c r="B676">
        <v>1245.8379076463752</v>
      </c>
      <c r="C676" s="43">
        <f t="shared" si="20"/>
        <v>2491.6758152927505</v>
      </c>
      <c r="D676" s="1">
        <f t="shared" si="21"/>
        <v>2360.4326767623133</v>
      </c>
      <c r="G676" s="1"/>
      <c r="H676" s="1"/>
    </row>
    <row r="677" spans="2:8" x14ac:dyDescent="0.25">
      <c r="B677">
        <v>747.62773309095064</v>
      </c>
      <c r="C677" s="43">
        <f t="shared" si="20"/>
        <v>1495.2554661819013</v>
      </c>
      <c r="D677" s="1">
        <f t="shared" si="21"/>
        <v>1500</v>
      </c>
      <c r="G677" s="1"/>
      <c r="H677" s="1"/>
    </row>
    <row r="678" spans="2:8" x14ac:dyDescent="0.25">
      <c r="B678">
        <v>823.51944072917104</v>
      </c>
      <c r="C678" s="43">
        <f t="shared" si="20"/>
        <v>1647.0388814583421</v>
      </c>
      <c r="D678" s="1">
        <f t="shared" si="21"/>
        <v>1500</v>
      </c>
      <c r="G678" s="1"/>
      <c r="H678" s="1"/>
    </row>
    <row r="679" spans="2:8" x14ac:dyDescent="0.25">
      <c r="B679">
        <v>1095.6301510134945</v>
      </c>
      <c r="C679" s="43">
        <f t="shared" si="20"/>
        <v>2191.2603020269889</v>
      </c>
      <c r="D679" s="1">
        <f t="shared" si="21"/>
        <v>1834.7055285472306</v>
      </c>
      <c r="G679" s="1"/>
      <c r="H679" s="1"/>
    </row>
    <row r="680" spans="2:8" x14ac:dyDescent="0.25">
      <c r="B680">
        <v>1677.4643388828845</v>
      </c>
      <c r="C680" s="43">
        <f t="shared" si="20"/>
        <v>3354.928677765769</v>
      </c>
      <c r="D680" s="1">
        <f t="shared" si="21"/>
        <v>3871.1251860900957</v>
      </c>
      <c r="G680" s="1"/>
      <c r="H680" s="1"/>
    </row>
    <row r="681" spans="2:8" x14ac:dyDescent="0.25">
      <c r="B681">
        <v>1458.3672425772529</v>
      </c>
      <c r="C681" s="43">
        <f t="shared" si="20"/>
        <v>2916.7344851545058</v>
      </c>
      <c r="D681" s="1">
        <f t="shared" si="21"/>
        <v>3104.2853490203852</v>
      </c>
      <c r="G681" s="1"/>
      <c r="H681" s="1"/>
    </row>
    <row r="682" spans="2:8" x14ac:dyDescent="0.25">
      <c r="B682">
        <v>1291.8084617297718</v>
      </c>
      <c r="C682" s="43">
        <f t="shared" si="20"/>
        <v>2583.6169234595436</v>
      </c>
      <c r="D682" s="1">
        <f t="shared" si="21"/>
        <v>2521.3296160542013</v>
      </c>
      <c r="G682" s="1"/>
      <c r="H682" s="1"/>
    </row>
    <row r="683" spans="2:8" x14ac:dyDescent="0.25">
      <c r="B683">
        <v>1739.7708150213584</v>
      </c>
      <c r="C683" s="43">
        <f t="shared" si="20"/>
        <v>3479.5416300427169</v>
      </c>
      <c r="D683" s="1">
        <f t="shared" si="21"/>
        <v>4089.1978525747545</v>
      </c>
      <c r="G683" s="1"/>
      <c r="H683" s="1"/>
    </row>
    <row r="684" spans="2:8" x14ac:dyDescent="0.25">
      <c r="B684">
        <v>538.47792585776187</v>
      </c>
      <c r="C684" s="43">
        <f t="shared" si="20"/>
        <v>1076.9558517155237</v>
      </c>
      <c r="D684" s="1">
        <f t="shared" si="21"/>
        <v>1500</v>
      </c>
      <c r="G684" s="1"/>
      <c r="H684" s="1"/>
    </row>
    <row r="685" spans="2:8" x14ac:dyDescent="0.25">
      <c r="B685">
        <v>1476.3203542145784</v>
      </c>
      <c r="C685" s="43">
        <f t="shared" si="20"/>
        <v>2952.6407084291568</v>
      </c>
      <c r="D685" s="1">
        <f t="shared" si="21"/>
        <v>3167.1212397510244</v>
      </c>
      <c r="G685" s="1"/>
      <c r="H685" s="1"/>
    </row>
    <row r="686" spans="2:8" x14ac:dyDescent="0.25">
      <c r="B686">
        <v>1565.9894263820315</v>
      </c>
      <c r="C686" s="43">
        <f t="shared" si="20"/>
        <v>3131.978852764063</v>
      </c>
      <c r="D686" s="1">
        <f t="shared" si="21"/>
        <v>3480.9629923371103</v>
      </c>
      <c r="G686" s="1"/>
      <c r="H686" s="1"/>
    </row>
    <row r="687" spans="2:8" x14ac:dyDescent="0.25">
      <c r="B687">
        <v>962.13461191047099</v>
      </c>
      <c r="C687" s="43">
        <f t="shared" si="20"/>
        <v>1924.269223820942</v>
      </c>
      <c r="D687" s="1">
        <f t="shared" si="21"/>
        <v>1500</v>
      </c>
      <c r="G687" s="1"/>
      <c r="H687" s="1"/>
    </row>
    <row r="688" spans="2:8" x14ac:dyDescent="0.25">
      <c r="B688">
        <v>1209.8037355202105</v>
      </c>
      <c r="C688" s="43">
        <f t="shared" si="20"/>
        <v>2419.6074710404209</v>
      </c>
      <c r="D688" s="1">
        <f t="shared" si="21"/>
        <v>2234.3130743207366</v>
      </c>
      <c r="G688" s="1"/>
      <c r="H688" s="1"/>
    </row>
    <row r="689" spans="2:8" x14ac:dyDescent="0.25">
      <c r="B689">
        <v>968.48842602531658</v>
      </c>
      <c r="C689" s="43">
        <f t="shared" si="20"/>
        <v>1936.9768520506332</v>
      </c>
      <c r="D689" s="1">
        <f t="shared" si="21"/>
        <v>1500</v>
      </c>
      <c r="G689" s="1"/>
      <c r="H689" s="1"/>
    </row>
    <row r="690" spans="2:8" x14ac:dyDescent="0.25">
      <c r="B690">
        <v>816.66222129689413</v>
      </c>
      <c r="C690" s="43">
        <f t="shared" si="20"/>
        <v>1633.3244425937883</v>
      </c>
      <c r="D690" s="1">
        <f t="shared" si="21"/>
        <v>1500</v>
      </c>
      <c r="G690" s="1"/>
      <c r="H690" s="1"/>
    </row>
    <row r="691" spans="2:8" x14ac:dyDescent="0.25">
      <c r="B691">
        <v>1338.6188636844163</v>
      </c>
      <c r="C691" s="43">
        <f t="shared" si="20"/>
        <v>2677.2377273688326</v>
      </c>
      <c r="D691" s="1">
        <f t="shared" si="21"/>
        <v>2685.166022895457</v>
      </c>
      <c r="G691" s="1"/>
      <c r="H691" s="1"/>
    </row>
    <row r="692" spans="2:8" x14ac:dyDescent="0.25">
      <c r="B692">
        <v>1917.4561118973652</v>
      </c>
      <c r="C692" s="43">
        <f t="shared" si="20"/>
        <v>3834.9122237947304</v>
      </c>
      <c r="D692" s="1">
        <f t="shared" si="21"/>
        <v>4711.0963916407782</v>
      </c>
      <c r="G692" s="1"/>
      <c r="H692" s="1"/>
    </row>
    <row r="693" spans="2:8" x14ac:dyDescent="0.25">
      <c r="B693">
        <v>1277.3745727657224</v>
      </c>
      <c r="C693" s="43">
        <f t="shared" si="20"/>
        <v>2554.7491455314448</v>
      </c>
      <c r="D693" s="1">
        <f t="shared" si="21"/>
        <v>2470.8110046800284</v>
      </c>
      <c r="G693" s="1"/>
      <c r="H693" s="1"/>
    </row>
    <row r="694" spans="2:8" x14ac:dyDescent="0.25">
      <c r="B694">
        <v>1484.8111239019199</v>
      </c>
      <c r="C694" s="43">
        <f t="shared" si="20"/>
        <v>2969.6222478038399</v>
      </c>
      <c r="D694" s="1">
        <f t="shared" si="21"/>
        <v>3196.8389336567197</v>
      </c>
      <c r="G694" s="1"/>
      <c r="H694" s="1"/>
    </row>
    <row r="695" spans="2:8" x14ac:dyDescent="0.25">
      <c r="B695">
        <v>965.85226017970126</v>
      </c>
      <c r="C695" s="43">
        <f t="shared" si="20"/>
        <v>1931.7045203594025</v>
      </c>
      <c r="D695" s="1">
        <f t="shared" si="21"/>
        <v>1500</v>
      </c>
      <c r="G695" s="1"/>
      <c r="H695" s="1"/>
    </row>
    <row r="696" spans="2:8" x14ac:dyDescent="0.25">
      <c r="B696">
        <v>1208.5376711468707</v>
      </c>
      <c r="C696" s="43">
        <f t="shared" si="20"/>
        <v>2417.0753422937414</v>
      </c>
      <c r="D696" s="1">
        <f t="shared" si="21"/>
        <v>2229.8818490140475</v>
      </c>
      <c r="G696" s="1"/>
      <c r="H696" s="1"/>
    </row>
    <row r="697" spans="2:8" x14ac:dyDescent="0.25">
      <c r="B697">
        <v>1230.7416211854725</v>
      </c>
      <c r="C697" s="43">
        <f t="shared" si="20"/>
        <v>2461.4832423709449</v>
      </c>
      <c r="D697" s="1">
        <f t="shared" si="21"/>
        <v>2307.5956741491536</v>
      </c>
      <c r="G697" s="1"/>
      <c r="H697" s="1"/>
    </row>
    <row r="698" spans="2:8" x14ac:dyDescent="0.25">
      <c r="B698">
        <v>1273.8608036500518</v>
      </c>
      <c r="C698" s="43">
        <f t="shared" si="20"/>
        <v>2547.7216073001036</v>
      </c>
      <c r="D698" s="1">
        <f t="shared" si="21"/>
        <v>2458.5128127751814</v>
      </c>
      <c r="G698" s="1"/>
      <c r="H698" s="1"/>
    </row>
    <row r="699" spans="2:8" x14ac:dyDescent="0.25">
      <c r="B699">
        <v>847.06202940770891</v>
      </c>
      <c r="C699" s="43">
        <f t="shared" si="20"/>
        <v>1694.1240588154178</v>
      </c>
      <c r="D699" s="1">
        <f t="shared" si="21"/>
        <v>1500</v>
      </c>
      <c r="G699" s="1"/>
      <c r="H699" s="1"/>
    </row>
    <row r="700" spans="2:8" x14ac:dyDescent="0.25">
      <c r="B700">
        <v>1378.3106949461508</v>
      </c>
      <c r="C700" s="43">
        <f t="shared" si="20"/>
        <v>2756.6213898923015</v>
      </c>
      <c r="D700" s="1">
        <f t="shared" si="21"/>
        <v>2824.0874323115277</v>
      </c>
      <c r="G700" s="1"/>
      <c r="H700" s="1"/>
    </row>
    <row r="701" spans="2:8" x14ac:dyDescent="0.25">
      <c r="B701">
        <v>1555.563902258029</v>
      </c>
      <c r="C701" s="43">
        <f t="shared" si="20"/>
        <v>3111.1278045160579</v>
      </c>
      <c r="D701" s="1">
        <f t="shared" si="21"/>
        <v>3444.4736579031014</v>
      </c>
      <c r="G701" s="1"/>
      <c r="H701" s="1"/>
    </row>
    <row r="702" spans="2:8" x14ac:dyDescent="0.25">
      <c r="B702">
        <v>1183.6862286430114</v>
      </c>
      <c r="C702" s="43">
        <f t="shared" si="20"/>
        <v>2367.3724572860228</v>
      </c>
      <c r="D702" s="1">
        <f t="shared" si="21"/>
        <v>2142.90180025054</v>
      </c>
      <c r="G702" s="1"/>
      <c r="H702" s="1"/>
    </row>
    <row r="703" spans="2:8" x14ac:dyDescent="0.25">
      <c r="B703">
        <v>876.08166793989949</v>
      </c>
      <c r="C703" s="43">
        <f t="shared" si="20"/>
        <v>1752.163335879799</v>
      </c>
      <c r="D703" s="1">
        <f t="shared" si="21"/>
        <v>1500</v>
      </c>
      <c r="G703" s="1"/>
      <c r="H703" s="1"/>
    </row>
    <row r="704" spans="2:8" x14ac:dyDescent="0.25">
      <c r="B704">
        <v>1384.0381889452256</v>
      </c>
      <c r="C704" s="43">
        <f t="shared" si="20"/>
        <v>2768.0763778904511</v>
      </c>
      <c r="D704" s="1">
        <f t="shared" si="21"/>
        <v>2844.1336613082894</v>
      </c>
      <c r="G704" s="1"/>
      <c r="H704" s="1"/>
    </row>
    <row r="705" spans="2:8" x14ac:dyDescent="0.25">
      <c r="B705">
        <v>1364.8362126162392</v>
      </c>
      <c r="C705" s="43">
        <f t="shared" si="20"/>
        <v>2729.6724252324784</v>
      </c>
      <c r="D705" s="1">
        <f t="shared" si="21"/>
        <v>2776.9267441568372</v>
      </c>
      <c r="G705" s="1"/>
      <c r="H705" s="1"/>
    </row>
    <row r="706" spans="2:8" x14ac:dyDescent="0.25">
      <c r="B706">
        <v>472.3237550763879</v>
      </c>
      <c r="C706" s="43">
        <f t="shared" si="20"/>
        <v>944.64751015277579</v>
      </c>
      <c r="D706" s="1">
        <f t="shared" si="21"/>
        <v>1500</v>
      </c>
      <c r="G706" s="1"/>
      <c r="H706" s="1"/>
    </row>
    <row r="707" spans="2:8" x14ac:dyDescent="0.25">
      <c r="B707">
        <v>1155.1720929504081</v>
      </c>
      <c r="C707" s="43">
        <f t="shared" si="20"/>
        <v>2310.3441859008162</v>
      </c>
      <c r="D707" s="1">
        <f t="shared" si="21"/>
        <v>2043.1023253264284</v>
      </c>
      <c r="G707" s="1"/>
      <c r="H707" s="1"/>
    </row>
    <row r="708" spans="2:8" x14ac:dyDescent="0.25">
      <c r="B708">
        <v>1620.1289902540448</v>
      </c>
      <c r="C708" s="43">
        <f t="shared" si="20"/>
        <v>3240.2579805080895</v>
      </c>
      <c r="D708" s="1">
        <f t="shared" si="21"/>
        <v>3670.4514658891567</v>
      </c>
      <c r="G708" s="1"/>
      <c r="H708" s="1"/>
    </row>
    <row r="709" spans="2:8" x14ac:dyDescent="0.25">
      <c r="B709">
        <v>1288.5468147772481</v>
      </c>
      <c r="C709" s="43">
        <f t="shared" si="20"/>
        <v>2577.0936295544961</v>
      </c>
      <c r="D709" s="1">
        <f t="shared" si="21"/>
        <v>2509.9138517203683</v>
      </c>
      <c r="G709" s="1"/>
      <c r="H709" s="1"/>
    </row>
    <row r="710" spans="2:8" x14ac:dyDescent="0.25">
      <c r="B710">
        <v>1625.7730028713122</v>
      </c>
      <c r="C710" s="43">
        <f t="shared" si="20"/>
        <v>3251.5460057426244</v>
      </c>
      <c r="D710" s="1">
        <f t="shared" si="21"/>
        <v>3690.2055100495927</v>
      </c>
      <c r="G710" s="1"/>
      <c r="H710" s="1"/>
    </row>
    <row r="711" spans="2:8" x14ac:dyDescent="0.25">
      <c r="B711">
        <v>1046.491079961299</v>
      </c>
      <c r="C711" s="43">
        <f t="shared" si="20"/>
        <v>2092.9821599225979</v>
      </c>
      <c r="D711" s="1">
        <f t="shared" si="21"/>
        <v>1662.7187798645464</v>
      </c>
      <c r="G711" s="1"/>
      <c r="H711" s="1"/>
    </row>
    <row r="712" spans="2:8" x14ac:dyDescent="0.25">
      <c r="B712">
        <v>1016.0723941510805</v>
      </c>
      <c r="C712" s="43">
        <f t="shared" si="20"/>
        <v>2032.144788302161</v>
      </c>
      <c r="D712" s="1">
        <f t="shared" si="21"/>
        <v>1556.2533795287818</v>
      </c>
      <c r="G712" s="1"/>
      <c r="H712" s="1"/>
    </row>
    <row r="713" spans="2:8" x14ac:dyDescent="0.25">
      <c r="B713">
        <v>600.54612347931834</v>
      </c>
      <c r="C713" s="43">
        <f t="shared" si="20"/>
        <v>1201.0922469586367</v>
      </c>
      <c r="D713" s="1">
        <f t="shared" si="21"/>
        <v>1500</v>
      </c>
      <c r="G713" s="1"/>
      <c r="H713" s="1"/>
    </row>
    <row r="714" spans="2:8" x14ac:dyDescent="0.25">
      <c r="B714">
        <v>1358.7533983639441</v>
      </c>
      <c r="C714" s="43">
        <f t="shared" si="20"/>
        <v>2717.5067967278883</v>
      </c>
      <c r="D714" s="1">
        <f t="shared" si="21"/>
        <v>2755.6368942738045</v>
      </c>
      <c r="G714" s="1"/>
      <c r="H714" s="1"/>
    </row>
    <row r="715" spans="2:8" x14ac:dyDescent="0.25">
      <c r="B715">
        <v>901.60096149821766</v>
      </c>
      <c r="C715" s="43">
        <f t="shared" si="20"/>
        <v>1803.2019229964353</v>
      </c>
      <c r="D715" s="1">
        <f t="shared" si="21"/>
        <v>1500</v>
      </c>
      <c r="G715" s="1"/>
      <c r="H715" s="1"/>
    </row>
    <row r="716" spans="2:8" x14ac:dyDescent="0.25">
      <c r="B716">
        <v>1013.4181896149239</v>
      </c>
      <c r="C716" s="43">
        <f t="shared" si="20"/>
        <v>2026.8363792298478</v>
      </c>
      <c r="D716" s="1">
        <f t="shared" si="21"/>
        <v>1546.9636636522337</v>
      </c>
      <c r="G716" s="1"/>
      <c r="H716" s="1"/>
    </row>
    <row r="717" spans="2:8" x14ac:dyDescent="0.25">
      <c r="B717">
        <v>1459.6064586669963</v>
      </c>
      <c r="C717" s="43">
        <f t="shared" si="20"/>
        <v>2919.2129173339927</v>
      </c>
      <c r="D717" s="1">
        <f t="shared" si="21"/>
        <v>3108.6226053344872</v>
      </c>
      <c r="G717" s="1"/>
      <c r="H717" s="1"/>
    </row>
    <row r="718" spans="2:8" x14ac:dyDescent="0.25">
      <c r="B718">
        <v>2043.9484440260567</v>
      </c>
      <c r="C718" s="43">
        <f t="shared" si="20"/>
        <v>4087.8968880521134</v>
      </c>
      <c r="D718" s="1">
        <f t="shared" si="21"/>
        <v>5153.8195540911984</v>
      </c>
      <c r="G718" s="1"/>
      <c r="H718" s="1"/>
    </row>
    <row r="719" spans="2:8" x14ac:dyDescent="0.25">
      <c r="B719">
        <v>568.8919971192372</v>
      </c>
      <c r="C719" s="43">
        <f t="shared" si="20"/>
        <v>1137.7839942384744</v>
      </c>
      <c r="D719" s="1">
        <f t="shared" si="21"/>
        <v>1500</v>
      </c>
      <c r="G719" s="1"/>
      <c r="H719" s="1"/>
    </row>
    <row r="720" spans="2:8" x14ac:dyDescent="0.25">
      <c r="B720">
        <v>641.98141515708994</v>
      </c>
      <c r="C720" s="43">
        <f t="shared" si="20"/>
        <v>1283.9628303141799</v>
      </c>
      <c r="D720" s="1">
        <f t="shared" si="21"/>
        <v>1500</v>
      </c>
      <c r="G720" s="1"/>
      <c r="H720" s="1"/>
    </row>
    <row r="721" spans="2:8" x14ac:dyDescent="0.25">
      <c r="B721">
        <v>1146.725790732773</v>
      </c>
      <c r="C721" s="43">
        <f t="shared" si="20"/>
        <v>2293.451581465546</v>
      </c>
      <c r="D721" s="1">
        <f t="shared" si="21"/>
        <v>2013.5402675647056</v>
      </c>
      <c r="G721" s="1"/>
      <c r="H721" s="1"/>
    </row>
    <row r="722" spans="2:8" x14ac:dyDescent="0.25">
      <c r="B722">
        <v>1239.0163460907497</v>
      </c>
      <c r="C722" s="43">
        <f t="shared" ref="C722:C785" si="22">B722*2</f>
        <v>2478.0326921814994</v>
      </c>
      <c r="D722" s="1">
        <f t="shared" ref="D722:D785" si="23">IF(B722&lt;=1000,1500,1500+(B722-1000)*3.5)</f>
        <v>2336.557211317624</v>
      </c>
      <c r="G722" s="1"/>
      <c r="H722" s="1"/>
    </row>
    <row r="723" spans="2:8" x14ac:dyDescent="0.25">
      <c r="B723">
        <v>683.06851815697155</v>
      </c>
      <c r="C723" s="43">
        <f t="shared" si="22"/>
        <v>1366.1370363139431</v>
      </c>
      <c r="D723" s="1">
        <f t="shared" si="23"/>
        <v>1500</v>
      </c>
      <c r="G723" s="1"/>
      <c r="H723" s="1"/>
    </row>
    <row r="724" spans="2:8" x14ac:dyDescent="0.25">
      <c r="B724">
        <v>646.73020531819202</v>
      </c>
      <c r="C724" s="43">
        <f t="shared" si="22"/>
        <v>1293.460410636384</v>
      </c>
      <c r="D724" s="1">
        <f t="shared" si="23"/>
        <v>1500</v>
      </c>
      <c r="G724" s="1"/>
      <c r="H724" s="1"/>
    </row>
    <row r="725" spans="2:8" x14ac:dyDescent="0.25">
      <c r="B725">
        <v>1211.9348180306697</v>
      </c>
      <c r="C725" s="43">
        <f t="shared" si="22"/>
        <v>2423.8696360613394</v>
      </c>
      <c r="D725" s="1">
        <f t="shared" si="23"/>
        <v>2241.771863107344</v>
      </c>
      <c r="G725" s="1"/>
      <c r="H725" s="1"/>
    </row>
    <row r="726" spans="2:8" x14ac:dyDescent="0.25">
      <c r="B726">
        <v>1270.3894044819317</v>
      </c>
      <c r="C726" s="43">
        <f t="shared" si="22"/>
        <v>2540.7788089638634</v>
      </c>
      <c r="D726" s="1">
        <f t="shared" si="23"/>
        <v>2446.362915686761</v>
      </c>
      <c r="G726" s="1"/>
      <c r="H726" s="1"/>
    </row>
    <row r="727" spans="2:8" x14ac:dyDescent="0.25">
      <c r="B727">
        <v>1560.7070265844523</v>
      </c>
      <c r="C727" s="43">
        <f t="shared" si="22"/>
        <v>3121.4140531689045</v>
      </c>
      <c r="D727" s="1">
        <f t="shared" si="23"/>
        <v>3462.4745930455829</v>
      </c>
      <c r="G727" s="1"/>
      <c r="H727" s="1"/>
    </row>
    <row r="728" spans="2:8" x14ac:dyDescent="0.25">
      <c r="B728">
        <v>1087.7803840970155</v>
      </c>
      <c r="C728" s="43">
        <f t="shared" si="22"/>
        <v>2175.560768194031</v>
      </c>
      <c r="D728" s="1">
        <f t="shared" si="23"/>
        <v>1807.2313443395542</v>
      </c>
      <c r="G728" s="1"/>
      <c r="H728" s="1"/>
    </row>
    <row r="729" spans="2:8" x14ac:dyDescent="0.25">
      <c r="B729">
        <v>1526.9142666341504</v>
      </c>
      <c r="C729" s="43">
        <f t="shared" si="22"/>
        <v>3053.8285332683008</v>
      </c>
      <c r="D729" s="1">
        <f t="shared" si="23"/>
        <v>3344.1999332195264</v>
      </c>
      <c r="G729" s="1"/>
      <c r="H729" s="1"/>
    </row>
    <row r="730" spans="2:8" x14ac:dyDescent="0.25">
      <c r="B730">
        <v>1676.5582093115081</v>
      </c>
      <c r="C730" s="43">
        <f t="shared" si="22"/>
        <v>3353.1164186230162</v>
      </c>
      <c r="D730" s="1">
        <f t="shared" si="23"/>
        <v>3867.9537325902784</v>
      </c>
      <c r="G730" s="1"/>
      <c r="H730" s="1"/>
    </row>
    <row r="731" spans="2:8" x14ac:dyDescent="0.25">
      <c r="B731">
        <v>947.2078052397701</v>
      </c>
      <c r="C731" s="43">
        <f t="shared" si="22"/>
        <v>1894.4156104795402</v>
      </c>
      <c r="D731" s="1">
        <f t="shared" si="23"/>
        <v>1500</v>
      </c>
      <c r="G731" s="1"/>
      <c r="H731" s="1"/>
    </row>
    <row r="732" spans="2:8" x14ac:dyDescent="0.25">
      <c r="B732">
        <v>1074.3302330241131</v>
      </c>
      <c r="C732" s="43">
        <f t="shared" si="22"/>
        <v>2148.6604660482262</v>
      </c>
      <c r="D732" s="1">
        <f t="shared" si="23"/>
        <v>1760.1558155843959</v>
      </c>
      <c r="G732" s="1"/>
      <c r="H732" s="1"/>
    </row>
    <row r="733" spans="2:8" x14ac:dyDescent="0.25">
      <c r="B733">
        <v>1281.7541990273749</v>
      </c>
      <c r="C733" s="43">
        <f t="shared" si="22"/>
        <v>2563.5083980547497</v>
      </c>
      <c r="D733" s="1">
        <f t="shared" si="23"/>
        <v>2486.139696595812</v>
      </c>
      <c r="G733" s="1"/>
      <c r="H733" s="1"/>
    </row>
    <row r="734" spans="2:8" x14ac:dyDescent="0.25">
      <c r="B734">
        <v>1186.5048789161956</v>
      </c>
      <c r="C734" s="43">
        <f t="shared" si="22"/>
        <v>2373.0097578323912</v>
      </c>
      <c r="D734" s="1">
        <f t="shared" si="23"/>
        <v>2152.7670762066846</v>
      </c>
      <c r="G734" s="1"/>
      <c r="H734" s="1"/>
    </row>
    <row r="735" spans="2:8" x14ac:dyDescent="0.25">
      <c r="B735">
        <v>1156.8962561626104</v>
      </c>
      <c r="C735" s="43">
        <f t="shared" si="22"/>
        <v>2313.7925123252207</v>
      </c>
      <c r="D735" s="1">
        <f t="shared" si="23"/>
        <v>2049.1368965691363</v>
      </c>
      <c r="G735" s="1"/>
      <c r="H735" s="1"/>
    </row>
    <row r="736" spans="2:8" x14ac:dyDescent="0.25">
      <c r="B736">
        <v>517.08319986693095</v>
      </c>
      <c r="C736" s="43">
        <f t="shared" si="22"/>
        <v>1034.1663997338619</v>
      </c>
      <c r="D736" s="1">
        <f t="shared" si="23"/>
        <v>1500</v>
      </c>
      <c r="G736" s="1"/>
      <c r="H736" s="1"/>
    </row>
    <row r="737" spans="2:8" x14ac:dyDescent="0.25">
      <c r="B737">
        <v>1005.296583827032</v>
      </c>
      <c r="C737" s="43">
        <f t="shared" si="22"/>
        <v>2010.593167654064</v>
      </c>
      <c r="D737" s="1">
        <f t="shared" si="23"/>
        <v>1518.538043394612</v>
      </c>
      <c r="G737" s="1"/>
      <c r="H737" s="1"/>
    </row>
    <row r="738" spans="2:8" x14ac:dyDescent="0.25">
      <c r="B738">
        <v>1351.2249718417588</v>
      </c>
      <c r="C738" s="43">
        <f t="shared" si="22"/>
        <v>2702.4499436835176</v>
      </c>
      <c r="D738" s="1">
        <f t="shared" si="23"/>
        <v>2729.2874014461559</v>
      </c>
      <c r="G738" s="1"/>
      <c r="H738" s="1"/>
    </row>
    <row r="739" spans="2:8" x14ac:dyDescent="0.25">
      <c r="B739">
        <v>980.43255619023694</v>
      </c>
      <c r="C739" s="43">
        <f t="shared" si="22"/>
        <v>1960.8651123804739</v>
      </c>
      <c r="D739" s="1">
        <f t="shared" si="23"/>
        <v>1500</v>
      </c>
      <c r="G739" s="1"/>
      <c r="H739" s="1"/>
    </row>
    <row r="740" spans="2:8" x14ac:dyDescent="0.25">
      <c r="B740">
        <v>709.83625690251938</v>
      </c>
      <c r="C740" s="43">
        <f t="shared" si="22"/>
        <v>1419.6725138050388</v>
      </c>
      <c r="D740" s="1">
        <f t="shared" si="23"/>
        <v>1500</v>
      </c>
      <c r="G740" s="1"/>
      <c r="H740" s="1"/>
    </row>
    <row r="741" spans="2:8" x14ac:dyDescent="0.25">
      <c r="B741">
        <v>833.40967719897162</v>
      </c>
      <c r="C741" s="43">
        <f t="shared" si="22"/>
        <v>1666.8193543979432</v>
      </c>
      <c r="D741" s="1">
        <f t="shared" si="23"/>
        <v>1500</v>
      </c>
      <c r="G741" s="1"/>
      <c r="H741" s="1"/>
    </row>
    <row r="742" spans="2:8" x14ac:dyDescent="0.25">
      <c r="B742">
        <v>540.67612907721195</v>
      </c>
      <c r="C742" s="43">
        <f t="shared" si="22"/>
        <v>1081.3522581544239</v>
      </c>
      <c r="D742" s="1">
        <f t="shared" si="23"/>
        <v>1500</v>
      </c>
      <c r="G742" s="1"/>
      <c r="H742" s="1"/>
    </row>
    <row r="743" spans="2:8" x14ac:dyDescent="0.25">
      <c r="B743">
        <v>1083.9326894541155</v>
      </c>
      <c r="C743" s="43">
        <f t="shared" si="22"/>
        <v>2167.8653789082309</v>
      </c>
      <c r="D743" s="1">
        <f t="shared" si="23"/>
        <v>1793.7644130894041</v>
      </c>
      <c r="G743" s="1"/>
      <c r="H743" s="1"/>
    </row>
    <row r="744" spans="2:8" x14ac:dyDescent="0.25">
      <c r="B744">
        <v>982.43820687576954</v>
      </c>
      <c r="C744" s="43">
        <f t="shared" si="22"/>
        <v>1964.8764137515391</v>
      </c>
      <c r="D744" s="1">
        <f t="shared" si="23"/>
        <v>1500</v>
      </c>
      <c r="G744" s="1"/>
      <c r="H744" s="1"/>
    </row>
    <row r="745" spans="2:8" x14ac:dyDescent="0.25">
      <c r="B745">
        <v>1016.876584145677</v>
      </c>
      <c r="C745" s="43">
        <f t="shared" si="22"/>
        <v>2033.7531682913541</v>
      </c>
      <c r="D745" s="1">
        <f t="shared" si="23"/>
        <v>1559.0680445098697</v>
      </c>
      <c r="G745" s="1"/>
      <c r="H745" s="1"/>
    </row>
    <row r="746" spans="2:8" x14ac:dyDescent="0.25">
      <c r="B746">
        <v>1562.6778584021959</v>
      </c>
      <c r="C746" s="43">
        <f t="shared" si="22"/>
        <v>3125.3557168043917</v>
      </c>
      <c r="D746" s="1">
        <f t="shared" si="23"/>
        <v>3469.3725044076855</v>
      </c>
      <c r="G746" s="1"/>
      <c r="H746" s="1"/>
    </row>
    <row r="747" spans="2:8" x14ac:dyDescent="0.25">
      <c r="B747">
        <v>1383.7206240908126</v>
      </c>
      <c r="C747" s="43">
        <f t="shared" si="22"/>
        <v>2767.4412481816253</v>
      </c>
      <c r="D747" s="1">
        <f t="shared" si="23"/>
        <v>2843.0221843178442</v>
      </c>
      <c r="G747" s="1"/>
      <c r="H747" s="1"/>
    </row>
    <row r="748" spans="2:8" x14ac:dyDescent="0.25">
      <c r="B748">
        <v>1552.9419995630742</v>
      </c>
      <c r="C748" s="43">
        <f t="shared" si="22"/>
        <v>3105.8839991261484</v>
      </c>
      <c r="D748" s="1">
        <f t="shared" si="23"/>
        <v>3435.2969984707597</v>
      </c>
      <c r="G748" s="1"/>
      <c r="H748" s="1"/>
    </row>
    <row r="749" spans="2:8" x14ac:dyDescent="0.25">
      <c r="B749">
        <v>715.90145196870435</v>
      </c>
      <c r="C749" s="43">
        <f t="shared" si="22"/>
        <v>1431.8029039374087</v>
      </c>
      <c r="D749" s="1">
        <f t="shared" si="23"/>
        <v>1500</v>
      </c>
      <c r="G749" s="1"/>
      <c r="H749" s="1"/>
    </row>
    <row r="750" spans="2:8" x14ac:dyDescent="0.25">
      <c r="B750">
        <v>1103.8016778286983</v>
      </c>
      <c r="C750" s="43">
        <f t="shared" si="22"/>
        <v>2207.6033556573966</v>
      </c>
      <c r="D750" s="1">
        <f t="shared" si="23"/>
        <v>1863.3058724004441</v>
      </c>
      <c r="G750" s="1"/>
      <c r="H750" s="1"/>
    </row>
    <row r="751" spans="2:8" x14ac:dyDescent="0.25">
      <c r="B751">
        <v>1332.4857089003781</v>
      </c>
      <c r="C751" s="43">
        <f t="shared" si="22"/>
        <v>2664.9714178007562</v>
      </c>
      <c r="D751" s="1">
        <f t="shared" si="23"/>
        <v>2663.6999811513233</v>
      </c>
      <c r="G751" s="1"/>
      <c r="H751" s="1"/>
    </row>
    <row r="752" spans="2:8" x14ac:dyDescent="0.25">
      <c r="B752">
        <v>413.74080026918091</v>
      </c>
      <c r="C752" s="43">
        <f t="shared" si="22"/>
        <v>827.48160053836182</v>
      </c>
      <c r="D752" s="1">
        <f t="shared" si="23"/>
        <v>1500</v>
      </c>
      <c r="G752" s="1"/>
      <c r="H752" s="1"/>
    </row>
    <row r="753" spans="2:8" x14ac:dyDescent="0.25">
      <c r="B753">
        <v>648.2269971286878</v>
      </c>
      <c r="C753" s="43">
        <f t="shared" si="22"/>
        <v>1296.4539942573756</v>
      </c>
      <c r="D753" s="1">
        <f t="shared" si="23"/>
        <v>1500</v>
      </c>
      <c r="G753" s="1"/>
      <c r="H753" s="1"/>
    </row>
    <row r="754" spans="2:8" x14ac:dyDescent="0.25">
      <c r="B754">
        <v>1504.4053368740715</v>
      </c>
      <c r="C754" s="43">
        <f t="shared" si="22"/>
        <v>3008.810673748143</v>
      </c>
      <c r="D754" s="1">
        <f t="shared" si="23"/>
        <v>3265.4186790592503</v>
      </c>
      <c r="G754" s="1"/>
      <c r="H754" s="1"/>
    </row>
    <row r="755" spans="2:8" x14ac:dyDescent="0.25">
      <c r="B755">
        <v>562.43498491431819</v>
      </c>
      <c r="C755" s="43">
        <f t="shared" si="22"/>
        <v>1124.8699698286364</v>
      </c>
      <c r="D755" s="1">
        <f t="shared" si="23"/>
        <v>1500</v>
      </c>
      <c r="G755" s="1"/>
      <c r="H755" s="1"/>
    </row>
    <row r="756" spans="2:8" x14ac:dyDescent="0.25">
      <c r="B756">
        <v>1204.6010415645578</v>
      </c>
      <c r="C756" s="43">
        <f t="shared" si="22"/>
        <v>2409.2020831291156</v>
      </c>
      <c r="D756" s="1">
        <f t="shared" si="23"/>
        <v>2216.1036454759524</v>
      </c>
      <c r="G756" s="1"/>
      <c r="H756" s="1"/>
    </row>
    <row r="757" spans="2:8" x14ac:dyDescent="0.25">
      <c r="B757">
        <v>990.29258834099164</v>
      </c>
      <c r="C757" s="43">
        <f t="shared" si="22"/>
        <v>1980.5851766819833</v>
      </c>
      <c r="D757" s="1">
        <f t="shared" si="23"/>
        <v>1500</v>
      </c>
      <c r="G757" s="1"/>
      <c r="H757" s="1"/>
    </row>
    <row r="758" spans="2:8" x14ac:dyDescent="0.25">
      <c r="B758">
        <v>694.22985305328621</v>
      </c>
      <c r="C758" s="43">
        <f t="shared" si="22"/>
        <v>1388.4597061065724</v>
      </c>
      <c r="D758" s="1">
        <f t="shared" si="23"/>
        <v>1500</v>
      </c>
      <c r="G758" s="1"/>
      <c r="H758" s="1"/>
    </row>
    <row r="759" spans="2:8" x14ac:dyDescent="0.25">
      <c r="B759">
        <v>1850.130684744101</v>
      </c>
      <c r="C759" s="43">
        <f t="shared" si="22"/>
        <v>3700.261369488202</v>
      </c>
      <c r="D759" s="1">
        <f t="shared" si="23"/>
        <v>4475.4573966043536</v>
      </c>
      <c r="G759" s="1"/>
      <c r="H759" s="1"/>
    </row>
    <row r="760" spans="2:8" x14ac:dyDescent="0.25">
      <c r="B760">
        <v>672.03806864318904</v>
      </c>
      <c r="C760" s="43">
        <f t="shared" si="22"/>
        <v>1344.0761372863781</v>
      </c>
      <c r="D760" s="1">
        <f t="shared" si="23"/>
        <v>1500</v>
      </c>
      <c r="G760" s="1"/>
      <c r="H760" s="1"/>
    </row>
    <row r="761" spans="2:8" x14ac:dyDescent="0.25">
      <c r="B761">
        <v>1115.8599131989031</v>
      </c>
      <c r="C761" s="43">
        <f t="shared" si="22"/>
        <v>2231.7198263978062</v>
      </c>
      <c r="D761" s="1">
        <f t="shared" si="23"/>
        <v>1905.5096961961608</v>
      </c>
      <c r="G761" s="1"/>
      <c r="H761" s="1"/>
    </row>
    <row r="762" spans="2:8" x14ac:dyDescent="0.25">
      <c r="B762">
        <v>1660.2378089203849</v>
      </c>
      <c r="C762" s="43">
        <f t="shared" si="22"/>
        <v>3320.4756178407697</v>
      </c>
      <c r="D762" s="1">
        <f t="shared" si="23"/>
        <v>3810.832331221347</v>
      </c>
      <c r="G762" s="1"/>
      <c r="H762" s="1"/>
    </row>
    <row r="763" spans="2:8" x14ac:dyDescent="0.25">
      <c r="B763">
        <v>1470.5454562147788</v>
      </c>
      <c r="C763" s="43">
        <f t="shared" si="22"/>
        <v>2941.0909124295576</v>
      </c>
      <c r="D763" s="1">
        <f t="shared" si="23"/>
        <v>3146.9090967517259</v>
      </c>
      <c r="G763" s="1"/>
      <c r="H763" s="1"/>
    </row>
    <row r="764" spans="2:8" x14ac:dyDescent="0.25">
      <c r="B764">
        <v>790.55058748173178</v>
      </c>
      <c r="C764" s="43">
        <f t="shared" si="22"/>
        <v>1581.1011749634636</v>
      </c>
      <c r="D764" s="1">
        <f t="shared" si="23"/>
        <v>1500</v>
      </c>
      <c r="G764" s="1"/>
      <c r="H764" s="1"/>
    </row>
    <row r="765" spans="2:8" x14ac:dyDescent="0.25">
      <c r="B765">
        <v>929.09192588314181</v>
      </c>
      <c r="C765" s="43">
        <f t="shared" si="22"/>
        <v>1858.1838517662836</v>
      </c>
      <c r="D765" s="1">
        <f t="shared" si="23"/>
        <v>1500</v>
      </c>
      <c r="G765" s="1"/>
      <c r="H765" s="1"/>
    </row>
    <row r="766" spans="2:8" x14ac:dyDescent="0.25">
      <c r="B766">
        <v>1819.6008302596165</v>
      </c>
      <c r="C766" s="43">
        <f t="shared" si="22"/>
        <v>3639.201660519233</v>
      </c>
      <c r="D766" s="1">
        <f t="shared" si="23"/>
        <v>4368.6029059086577</v>
      </c>
      <c r="G766" s="1"/>
      <c r="H766" s="1"/>
    </row>
    <row r="767" spans="2:8" x14ac:dyDescent="0.25">
      <c r="B767">
        <v>1286.0012618887704</v>
      </c>
      <c r="C767" s="43">
        <f t="shared" si="22"/>
        <v>2572.0025237775408</v>
      </c>
      <c r="D767" s="1">
        <f t="shared" si="23"/>
        <v>2501.0044166106964</v>
      </c>
      <c r="G767" s="1"/>
      <c r="H767" s="1"/>
    </row>
    <row r="768" spans="2:8" x14ac:dyDescent="0.25">
      <c r="B768">
        <v>1155.6243187272339</v>
      </c>
      <c r="C768" s="43">
        <f t="shared" si="22"/>
        <v>2311.2486374544678</v>
      </c>
      <c r="D768" s="1">
        <f t="shared" si="23"/>
        <v>2044.6851155453187</v>
      </c>
      <c r="G768" s="1"/>
      <c r="H768" s="1"/>
    </row>
    <row r="769" spans="2:8" x14ac:dyDescent="0.25">
      <c r="B769">
        <v>892.78046132795862</v>
      </c>
      <c r="C769" s="43">
        <f t="shared" si="22"/>
        <v>1785.5609226559172</v>
      </c>
      <c r="D769" s="1">
        <f t="shared" si="23"/>
        <v>1500</v>
      </c>
      <c r="G769" s="1"/>
      <c r="H769" s="1"/>
    </row>
    <row r="770" spans="2:8" x14ac:dyDescent="0.25">
      <c r="B770">
        <v>872.15258943734807</v>
      </c>
      <c r="C770" s="43">
        <f t="shared" si="22"/>
        <v>1744.3051788746961</v>
      </c>
      <c r="D770" s="1">
        <f t="shared" si="23"/>
        <v>1500</v>
      </c>
      <c r="G770" s="1"/>
      <c r="H770" s="1"/>
    </row>
    <row r="771" spans="2:8" x14ac:dyDescent="0.25">
      <c r="B771">
        <v>1408.9454255384335</v>
      </c>
      <c r="C771" s="43">
        <f t="shared" si="22"/>
        <v>2817.890851076867</v>
      </c>
      <c r="D771" s="1">
        <f t="shared" si="23"/>
        <v>2931.3089893845172</v>
      </c>
      <c r="G771" s="1"/>
      <c r="H771" s="1"/>
    </row>
    <row r="772" spans="2:8" x14ac:dyDescent="0.25">
      <c r="B772">
        <v>724.60868594254134</v>
      </c>
      <c r="C772" s="43">
        <f t="shared" si="22"/>
        <v>1449.2173718850827</v>
      </c>
      <c r="D772" s="1">
        <f t="shared" si="23"/>
        <v>1500</v>
      </c>
      <c r="G772" s="1"/>
      <c r="H772" s="1"/>
    </row>
    <row r="773" spans="2:8" x14ac:dyDescent="0.25">
      <c r="B773">
        <v>1095.1473014131916</v>
      </c>
      <c r="C773" s="43">
        <f t="shared" si="22"/>
        <v>2190.2946028263832</v>
      </c>
      <c r="D773" s="1">
        <f t="shared" si="23"/>
        <v>1833.0155549461706</v>
      </c>
      <c r="G773" s="1"/>
      <c r="H773" s="1"/>
    </row>
    <row r="774" spans="2:8" x14ac:dyDescent="0.25">
      <c r="B774">
        <v>1555.2954194220656</v>
      </c>
      <c r="C774" s="43">
        <f t="shared" si="22"/>
        <v>3110.5908388441312</v>
      </c>
      <c r="D774" s="1">
        <f t="shared" si="23"/>
        <v>3443.5339679772296</v>
      </c>
      <c r="G774" s="1"/>
      <c r="H774" s="1"/>
    </row>
    <row r="775" spans="2:8" x14ac:dyDescent="0.25">
      <c r="B775">
        <v>693.53347569750622</v>
      </c>
      <c r="C775" s="43">
        <f t="shared" si="22"/>
        <v>1387.0669513950124</v>
      </c>
      <c r="D775" s="1">
        <f t="shared" si="23"/>
        <v>1500</v>
      </c>
      <c r="G775" s="1"/>
      <c r="H775" s="1"/>
    </row>
    <row r="776" spans="2:8" x14ac:dyDescent="0.25">
      <c r="B776">
        <v>1096.1415269151184</v>
      </c>
      <c r="C776" s="43">
        <f t="shared" si="22"/>
        <v>2192.2830538302369</v>
      </c>
      <c r="D776" s="1">
        <f t="shared" si="23"/>
        <v>1836.4953442029146</v>
      </c>
      <c r="G776" s="1"/>
      <c r="H776" s="1"/>
    </row>
    <row r="777" spans="2:8" x14ac:dyDescent="0.25">
      <c r="B777">
        <v>588.99632747971918</v>
      </c>
      <c r="C777" s="43">
        <f t="shared" si="22"/>
        <v>1177.9926549594384</v>
      </c>
      <c r="D777" s="1">
        <f t="shared" si="23"/>
        <v>1500</v>
      </c>
      <c r="G777" s="1"/>
      <c r="H777" s="1"/>
    </row>
    <row r="778" spans="2:8" x14ac:dyDescent="0.25">
      <c r="B778">
        <v>914.94204141900991</v>
      </c>
      <c r="C778" s="43">
        <f t="shared" si="22"/>
        <v>1829.8840828380198</v>
      </c>
      <c r="D778" s="1">
        <f t="shared" si="23"/>
        <v>1500</v>
      </c>
      <c r="G778" s="1"/>
      <c r="H778" s="1"/>
    </row>
    <row r="779" spans="2:8" x14ac:dyDescent="0.25">
      <c r="B779">
        <v>786.0509829527582</v>
      </c>
      <c r="C779" s="43">
        <f t="shared" si="22"/>
        <v>1572.1019659055164</v>
      </c>
      <c r="D779" s="1">
        <f t="shared" si="23"/>
        <v>1500</v>
      </c>
      <c r="G779" s="1"/>
      <c r="H779" s="1"/>
    </row>
    <row r="780" spans="2:8" x14ac:dyDescent="0.25">
      <c r="B780">
        <v>1153.278449948004</v>
      </c>
      <c r="C780" s="43">
        <f t="shared" si="22"/>
        <v>2306.556899896008</v>
      </c>
      <c r="D780" s="1">
        <f t="shared" si="23"/>
        <v>2036.4745748180139</v>
      </c>
      <c r="G780" s="1"/>
      <c r="H780" s="1"/>
    </row>
    <row r="781" spans="2:8" x14ac:dyDescent="0.25">
      <c r="B781">
        <v>740.46175839731586</v>
      </c>
      <c r="C781" s="43">
        <f t="shared" si="22"/>
        <v>1480.9235167946317</v>
      </c>
      <c r="D781" s="1">
        <f t="shared" si="23"/>
        <v>1500</v>
      </c>
      <c r="G781" s="1"/>
      <c r="H781" s="1"/>
    </row>
    <row r="782" spans="2:8" x14ac:dyDescent="0.25">
      <c r="B782">
        <v>1082.7916374012711</v>
      </c>
      <c r="C782" s="43">
        <f t="shared" si="22"/>
        <v>2165.5832748025423</v>
      </c>
      <c r="D782" s="1">
        <f t="shared" si="23"/>
        <v>1789.770730904449</v>
      </c>
      <c r="G782" s="1"/>
      <c r="H782" s="1"/>
    </row>
    <row r="783" spans="2:8" x14ac:dyDescent="0.25">
      <c r="B783">
        <v>472.75332761392929</v>
      </c>
      <c r="C783" s="43">
        <f t="shared" si="22"/>
        <v>945.50665522785857</v>
      </c>
      <c r="D783" s="1">
        <f t="shared" si="23"/>
        <v>1500</v>
      </c>
      <c r="G783" s="1"/>
      <c r="H783" s="1"/>
    </row>
    <row r="784" spans="2:8" x14ac:dyDescent="0.25">
      <c r="B784">
        <v>875.57406757815625</v>
      </c>
      <c r="C784" s="43">
        <f t="shared" si="22"/>
        <v>1751.1481351563125</v>
      </c>
      <c r="D784" s="1">
        <f t="shared" si="23"/>
        <v>1500</v>
      </c>
      <c r="G784" s="1"/>
      <c r="H784" s="1"/>
    </row>
    <row r="785" spans="2:8" x14ac:dyDescent="0.25">
      <c r="B785">
        <v>1389.753936820227</v>
      </c>
      <c r="C785" s="43">
        <f t="shared" si="22"/>
        <v>2779.5078736404539</v>
      </c>
      <c r="D785" s="1">
        <f t="shared" si="23"/>
        <v>2864.1387788707943</v>
      </c>
      <c r="G785" s="1"/>
      <c r="H785" s="1"/>
    </row>
    <row r="786" spans="2:8" x14ac:dyDescent="0.25">
      <c r="B786">
        <v>638.13707654963946</v>
      </c>
      <c r="C786" s="43">
        <f t="shared" ref="C786:C849" si="24">B786*2</f>
        <v>1276.2741530992789</v>
      </c>
      <c r="D786" s="1">
        <f t="shared" ref="D786:D849" si="25">IF(B786&lt;=1000,1500,1500+(B786-1000)*3.5)</f>
        <v>1500</v>
      </c>
      <c r="G786" s="1"/>
      <c r="H786" s="1"/>
    </row>
    <row r="787" spans="2:8" x14ac:dyDescent="0.25">
      <c r="B787">
        <v>832.45824114902643</v>
      </c>
      <c r="C787" s="43">
        <f t="shared" si="24"/>
        <v>1664.9164822980529</v>
      </c>
      <c r="D787" s="1">
        <f t="shared" si="25"/>
        <v>1500</v>
      </c>
      <c r="G787" s="1"/>
      <c r="H787" s="1"/>
    </row>
    <row r="788" spans="2:8" x14ac:dyDescent="0.25">
      <c r="B788">
        <v>1371.7420945625345</v>
      </c>
      <c r="C788" s="43">
        <f t="shared" si="24"/>
        <v>2743.484189125069</v>
      </c>
      <c r="D788" s="1">
        <f t="shared" si="25"/>
        <v>2801.0973309688707</v>
      </c>
      <c r="G788" s="1"/>
      <c r="H788" s="1"/>
    </row>
    <row r="789" spans="2:8" x14ac:dyDescent="0.25">
      <c r="B789">
        <v>893.97353193027084</v>
      </c>
      <c r="C789" s="43">
        <f t="shared" si="24"/>
        <v>1787.9470638605417</v>
      </c>
      <c r="D789" s="1">
        <f t="shared" si="25"/>
        <v>1500</v>
      </c>
      <c r="G789" s="1"/>
      <c r="H789" s="1"/>
    </row>
    <row r="790" spans="2:8" x14ac:dyDescent="0.25">
      <c r="B790">
        <v>1196.1786510995007</v>
      </c>
      <c r="C790" s="43">
        <f t="shared" si="24"/>
        <v>2392.3573021990014</v>
      </c>
      <c r="D790" s="1">
        <f t="shared" si="25"/>
        <v>2186.6252788482525</v>
      </c>
      <c r="G790" s="1"/>
      <c r="H790" s="1"/>
    </row>
    <row r="791" spans="2:8" x14ac:dyDescent="0.25">
      <c r="B791">
        <v>1664.9865990814869</v>
      </c>
      <c r="C791" s="43">
        <f t="shared" si="24"/>
        <v>3329.9731981629739</v>
      </c>
      <c r="D791" s="1">
        <f t="shared" si="25"/>
        <v>3827.4530967852043</v>
      </c>
      <c r="G791" s="1"/>
      <c r="H791" s="1"/>
    </row>
    <row r="792" spans="2:8" x14ac:dyDescent="0.25">
      <c r="B792">
        <v>1570.2348112257023</v>
      </c>
      <c r="C792" s="43">
        <f t="shared" si="24"/>
        <v>3140.4696224514046</v>
      </c>
      <c r="D792" s="1">
        <f t="shared" si="25"/>
        <v>3495.821839289958</v>
      </c>
      <c r="G792" s="1"/>
      <c r="H792" s="1"/>
    </row>
    <row r="793" spans="2:8" x14ac:dyDescent="0.25">
      <c r="B793">
        <v>1353.0313579224749</v>
      </c>
      <c r="C793" s="43">
        <f t="shared" si="24"/>
        <v>2706.0627158449497</v>
      </c>
      <c r="D793" s="1">
        <f t="shared" si="25"/>
        <v>2735.609752728662</v>
      </c>
      <c r="G793" s="1"/>
      <c r="H793" s="1"/>
    </row>
    <row r="794" spans="2:8" x14ac:dyDescent="0.25">
      <c r="B794">
        <v>696.54048346029595</v>
      </c>
      <c r="C794" s="43">
        <f t="shared" si="24"/>
        <v>1393.0809669205919</v>
      </c>
      <c r="D794" s="1">
        <f t="shared" si="25"/>
        <v>1500</v>
      </c>
      <c r="G794" s="1"/>
      <c r="H794" s="1"/>
    </row>
    <row r="795" spans="2:8" x14ac:dyDescent="0.25">
      <c r="B795">
        <v>1169.347986689274</v>
      </c>
      <c r="C795" s="43">
        <f t="shared" si="24"/>
        <v>2338.6959733785479</v>
      </c>
      <c r="D795" s="1">
        <f t="shared" si="25"/>
        <v>2092.7179534124589</v>
      </c>
      <c r="G795" s="1"/>
      <c r="H795" s="1"/>
    </row>
    <row r="796" spans="2:8" x14ac:dyDescent="0.25">
      <c r="B796">
        <v>1573.912187069538</v>
      </c>
      <c r="C796" s="43">
        <f t="shared" si="24"/>
        <v>3147.8243741390761</v>
      </c>
      <c r="D796" s="1">
        <f t="shared" si="25"/>
        <v>3508.6926547433832</v>
      </c>
      <c r="G796" s="1"/>
      <c r="H796" s="1"/>
    </row>
    <row r="797" spans="2:8" x14ac:dyDescent="0.25">
      <c r="B797">
        <v>922.74188730817696</v>
      </c>
      <c r="C797" s="43">
        <f t="shared" si="24"/>
        <v>1845.4837746163539</v>
      </c>
      <c r="D797" s="1">
        <f t="shared" si="25"/>
        <v>1500</v>
      </c>
      <c r="G797" s="1"/>
      <c r="H797" s="1"/>
    </row>
    <row r="798" spans="2:8" x14ac:dyDescent="0.25">
      <c r="B798">
        <v>1157.800707716262</v>
      </c>
      <c r="C798" s="43">
        <f t="shared" si="24"/>
        <v>2315.6014154325239</v>
      </c>
      <c r="D798" s="1">
        <f t="shared" si="25"/>
        <v>2052.3024770069169</v>
      </c>
      <c r="G798" s="1"/>
      <c r="H798" s="1"/>
    </row>
    <row r="799" spans="2:8" x14ac:dyDescent="0.25">
      <c r="B799">
        <v>1340.6211583344993</v>
      </c>
      <c r="C799" s="43">
        <f t="shared" si="24"/>
        <v>2681.2423166689987</v>
      </c>
      <c r="D799" s="1">
        <f t="shared" si="25"/>
        <v>2692.1740541707477</v>
      </c>
      <c r="G799" s="1"/>
      <c r="H799" s="1"/>
    </row>
    <row r="800" spans="2:8" x14ac:dyDescent="0.25">
      <c r="B800">
        <v>862.08280507099698</v>
      </c>
      <c r="C800" s="43">
        <f t="shared" si="24"/>
        <v>1724.165610141994</v>
      </c>
      <c r="D800" s="1">
        <f t="shared" si="25"/>
        <v>1500</v>
      </c>
      <c r="G800" s="1"/>
      <c r="H800" s="1"/>
    </row>
    <row r="801" spans="2:8" x14ac:dyDescent="0.25">
      <c r="B801">
        <v>1123.4617529965471</v>
      </c>
      <c r="C801" s="43">
        <f t="shared" si="24"/>
        <v>2246.9235059930943</v>
      </c>
      <c r="D801" s="1">
        <f t="shared" si="25"/>
        <v>1932.116135487915</v>
      </c>
      <c r="G801" s="1"/>
      <c r="H801" s="1"/>
    </row>
    <row r="802" spans="2:8" x14ac:dyDescent="0.25">
      <c r="B802">
        <v>1246.8409427413571</v>
      </c>
      <c r="C802" s="43">
        <f t="shared" si="24"/>
        <v>2493.6818854827143</v>
      </c>
      <c r="D802" s="1">
        <f t="shared" si="25"/>
        <v>2363.94329959475</v>
      </c>
      <c r="G802" s="1"/>
      <c r="H802" s="1"/>
    </row>
    <row r="803" spans="2:8" x14ac:dyDescent="0.25">
      <c r="B803">
        <v>1912.5059596092906</v>
      </c>
      <c r="C803" s="43">
        <f t="shared" si="24"/>
        <v>3825.0119192185812</v>
      </c>
      <c r="D803" s="1">
        <f t="shared" si="25"/>
        <v>4693.770858632517</v>
      </c>
      <c r="G803" s="1"/>
      <c r="H803" s="1"/>
    </row>
    <row r="804" spans="2:8" x14ac:dyDescent="0.25">
      <c r="B804">
        <v>1325.9548639155691</v>
      </c>
      <c r="C804" s="43">
        <f t="shared" si="24"/>
        <v>2651.9097278311383</v>
      </c>
      <c r="D804" s="1">
        <f t="shared" si="25"/>
        <v>2640.842023704492</v>
      </c>
      <c r="G804" s="1"/>
      <c r="H804" s="1"/>
    </row>
    <row r="805" spans="2:8" x14ac:dyDescent="0.25">
      <c r="B805">
        <v>1004.9957991498668</v>
      </c>
      <c r="C805" s="43">
        <f t="shared" si="24"/>
        <v>2009.9915982997336</v>
      </c>
      <c r="D805" s="1">
        <f t="shared" si="25"/>
        <v>1517.4852970245338</v>
      </c>
      <c r="G805" s="1"/>
      <c r="H805" s="1"/>
    </row>
    <row r="806" spans="2:8" x14ac:dyDescent="0.25">
      <c r="B806">
        <v>1392.2944556555303</v>
      </c>
      <c r="C806" s="43">
        <f t="shared" si="24"/>
        <v>2784.5889113110607</v>
      </c>
      <c r="D806" s="1">
        <f t="shared" si="25"/>
        <v>2873.0305947943561</v>
      </c>
      <c r="G806" s="1"/>
      <c r="H806" s="1"/>
    </row>
    <row r="807" spans="2:8" x14ac:dyDescent="0.25">
      <c r="B807">
        <v>1128.1216082182364</v>
      </c>
      <c r="C807" s="43">
        <f t="shared" si="24"/>
        <v>2256.2432164364727</v>
      </c>
      <c r="D807" s="1">
        <f t="shared" si="25"/>
        <v>1948.4256287638273</v>
      </c>
      <c r="G807" s="1"/>
      <c r="H807" s="1"/>
    </row>
    <row r="808" spans="2:8" x14ac:dyDescent="0.25">
      <c r="B808">
        <v>1399.7339472383028</v>
      </c>
      <c r="C808" s="43">
        <f t="shared" si="24"/>
        <v>2799.4678944766056</v>
      </c>
      <c r="D808" s="1">
        <f t="shared" si="25"/>
        <v>2899.0688153340598</v>
      </c>
      <c r="G808" s="1"/>
      <c r="H808" s="1"/>
    </row>
    <row r="809" spans="2:8" x14ac:dyDescent="0.25">
      <c r="B809">
        <v>949.7810454207065</v>
      </c>
      <c r="C809" s="43">
        <f t="shared" si="24"/>
        <v>1899.562090841413</v>
      </c>
      <c r="D809" s="1">
        <f t="shared" si="25"/>
        <v>1500</v>
      </c>
      <c r="G809" s="1"/>
      <c r="H809" s="1"/>
    </row>
    <row r="810" spans="2:8" x14ac:dyDescent="0.25">
      <c r="B810">
        <v>1372.9527843509568</v>
      </c>
      <c r="C810" s="43">
        <f t="shared" si="24"/>
        <v>2745.9055687019136</v>
      </c>
      <c r="D810" s="1">
        <f t="shared" si="25"/>
        <v>2805.3347452283488</v>
      </c>
      <c r="G810" s="1"/>
      <c r="H810" s="1"/>
    </row>
    <row r="811" spans="2:8" x14ac:dyDescent="0.25">
      <c r="B811">
        <v>968.51988885765604</v>
      </c>
      <c r="C811" s="43">
        <f t="shared" si="24"/>
        <v>1937.0397777153121</v>
      </c>
      <c r="D811" s="1">
        <f t="shared" si="25"/>
        <v>1500</v>
      </c>
      <c r="G811" s="1"/>
      <c r="H811" s="1"/>
    </row>
    <row r="812" spans="2:8" x14ac:dyDescent="0.25">
      <c r="B812">
        <v>797.20560577817378</v>
      </c>
      <c r="C812" s="43">
        <f t="shared" si="24"/>
        <v>1594.4112115563476</v>
      </c>
      <c r="D812" s="1">
        <f t="shared" si="25"/>
        <v>1500</v>
      </c>
      <c r="G812" s="1"/>
      <c r="H812" s="1"/>
    </row>
    <row r="813" spans="2:8" x14ac:dyDescent="0.25">
      <c r="B813">
        <v>1136.8447833604587</v>
      </c>
      <c r="C813" s="43">
        <f t="shared" si="24"/>
        <v>2273.6895667209174</v>
      </c>
      <c r="D813" s="1">
        <f t="shared" si="25"/>
        <v>1978.9567417616054</v>
      </c>
      <c r="G813" s="1"/>
      <c r="H813" s="1"/>
    </row>
    <row r="814" spans="2:8" x14ac:dyDescent="0.25">
      <c r="B814">
        <v>867.01366015523672</v>
      </c>
      <c r="C814" s="43">
        <f t="shared" si="24"/>
        <v>1734.0273203104734</v>
      </c>
      <c r="D814" s="1">
        <f t="shared" si="25"/>
        <v>1500</v>
      </c>
      <c r="G814" s="1"/>
      <c r="H814" s="1"/>
    </row>
    <row r="815" spans="2:8" x14ac:dyDescent="0.25">
      <c r="B815">
        <v>1037.1814376242692</v>
      </c>
      <c r="C815" s="43">
        <f t="shared" si="24"/>
        <v>2074.3628752485383</v>
      </c>
      <c r="D815" s="1">
        <f t="shared" si="25"/>
        <v>1630.1350316849421</v>
      </c>
      <c r="G815" s="1"/>
      <c r="H815" s="1"/>
    </row>
    <row r="816" spans="2:8" x14ac:dyDescent="0.25">
      <c r="B816">
        <v>2083.509389905259</v>
      </c>
      <c r="C816" s="43">
        <f t="shared" si="24"/>
        <v>4167.018779810518</v>
      </c>
      <c r="D816" s="1">
        <f t="shared" si="25"/>
        <v>5292.2828646684065</v>
      </c>
      <c r="G816" s="1"/>
      <c r="H816" s="1"/>
    </row>
    <row r="817" spans="2:8" x14ac:dyDescent="0.25">
      <c r="B817">
        <v>1768.5655991784297</v>
      </c>
      <c r="C817" s="43">
        <f t="shared" si="24"/>
        <v>3537.1311983568594</v>
      </c>
      <c r="D817" s="1">
        <f t="shared" si="25"/>
        <v>4189.9795971245039</v>
      </c>
      <c r="G817" s="1"/>
      <c r="H817" s="1"/>
    </row>
    <row r="818" spans="2:8" x14ac:dyDescent="0.25">
      <c r="B818">
        <v>839.89689372293651</v>
      </c>
      <c r="C818" s="43">
        <f t="shared" si="24"/>
        <v>1679.793787445873</v>
      </c>
      <c r="D818" s="1">
        <f t="shared" si="25"/>
        <v>1500</v>
      </c>
      <c r="G818" s="1"/>
      <c r="H818" s="1"/>
    </row>
    <row r="819" spans="2:8" x14ac:dyDescent="0.25">
      <c r="B819">
        <v>853.21028635127004</v>
      </c>
      <c r="C819" s="43">
        <f t="shared" si="24"/>
        <v>1706.4205727025401</v>
      </c>
      <c r="D819" s="1">
        <f t="shared" si="25"/>
        <v>1500</v>
      </c>
      <c r="G819" s="1"/>
      <c r="H819" s="1"/>
    </row>
    <row r="820" spans="2:8" x14ac:dyDescent="0.25">
      <c r="B820">
        <v>1455.3258354511054</v>
      </c>
      <c r="C820" s="43">
        <f t="shared" si="24"/>
        <v>2910.6516709022108</v>
      </c>
      <c r="D820" s="1">
        <f t="shared" si="25"/>
        <v>3093.6404240788688</v>
      </c>
      <c r="G820" s="1"/>
      <c r="H820" s="1"/>
    </row>
    <row r="821" spans="2:8" x14ac:dyDescent="0.25">
      <c r="B821">
        <v>1614.5957268066122</v>
      </c>
      <c r="C821" s="43">
        <f t="shared" si="24"/>
        <v>3229.1914536132244</v>
      </c>
      <c r="D821" s="1">
        <f t="shared" si="25"/>
        <v>3651.0850438231428</v>
      </c>
      <c r="G821" s="1"/>
      <c r="H821" s="1"/>
    </row>
    <row r="822" spans="2:8" x14ac:dyDescent="0.25">
      <c r="B822">
        <v>1097.9302938097244</v>
      </c>
      <c r="C822" s="43">
        <f t="shared" si="24"/>
        <v>2195.8605876194488</v>
      </c>
      <c r="D822" s="1">
        <f t="shared" si="25"/>
        <v>1842.7560283340354</v>
      </c>
      <c r="G822" s="1"/>
      <c r="H822" s="1"/>
    </row>
    <row r="823" spans="2:8" x14ac:dyDescent="0.25">
      <c r="B823">
        <v>1195.406762946106</v>
      </c>
      <c r="C823" s="43">
        <f t="shared" si="24"/>
        <v>2390.8135258922121</v>
      </c>
      <c r="D823" s="1">
        <f t="shared" si="25"/>
        <v>2183.9236703113711</v>
      </c>
      <c r="G823" s="1"/>
      <c r="H823" s="1"/>
    </row>
    <row r="824" spans="2:8" x14ac:dyDescent="0.25">
      <c r="B824">
        <v>1149.4085215702507</v>
      </c>
      <c r="C824" s="43">
        <f t="shared" si="24"/>
        <v>2298.8170431405015</v>
      </c>
      <c r="D824" s="1">
        <f t="shared" si="25"/>
        <v>2022.9298254958776</v>
      </c>
      <c r="G824" s="1"/>
      <c r="H824" s="1"/>
    </row>
    <row r="825" spans="2:8" x14ac:dyDescent="0.25">
      <c r="B825">
        <v>1249.9725433202111</v>
      </c>
      <c r="C825" s="43">
        <f t="shared" si="24"/>
        <v>2499.9450866404222</v>
      </c>
      <c r="D825" s="1">
        <f t="shared" si="25"/>
        <v>2374.9039016207389</v>
      </c>
      <c r="G825" s="1"/>
      <c r="H825" s="1"/>
    </row>
    <row r="826" spans="2:8" x14ac:dyDescent="0.25">
      <c r="B826">
        <v>1287.3805924585322</v>
      </c>
      <c r="C826" s="43">
        <f t="shared" si="24"/>
        <v>2574.7611849170644</v>
      </c>
      <c r="D826" s="1">
        <f t="shared" si="25"/>
        <v>2505.8320736048627</v>
      </c>
      <c r="G826" s="1"/>
      <c r="H826" s="1"/>
    </row>
    <row r="827" spans="2:8" x14ac:dyDescent="0.25">
      <c r="B827">
        <v>907.76180357471458</v>
      </c>
      <c r="C827" s="43">
        <f t="shared" si="24"/>
        <v>1815.5236071494292</v>
      </c>
      <c r="D827" s="1">
        <f t="shared" si="25"/>
        <v>1500</v>
      </c>
      <c r="G827" s="1"/>
      <c r="H827" s="1"/>
    </row>
    <row r="828" spans="2:8" x14ac:dyDescent="0.25">
      <c r="B828">
        <v>1021.124486015935</v>
      </c>
      <c r="C828" s="43">
        <f t="shared" si="24"/>
        <v>2042.2489720318699</v>
      </c>
      <c r="D828" s="1">
        <f t="shared" si="25"/>
        <v>1573.9357010557724</v>
      </c>
      <c r="G828" s="1"/>
      <c r="H828" s="1"/>
    </row>
    <row r="829" spans="2:8" x14ac:dyDescent="0.25">
      <c r="B829">
        <v>1065.7496893884963</v>
      </c>
      <c r="C829" s="43">
        <f t="shared" si="24"/>
        <v>2131.4993787769927</v>
      </c>
      <c r="D829" s="1">
        <f t="shared" si="25"/>
        <v>1730.1239128597372</v>
      </c>
      <c r="G829" s="1"/>
      <c r="H829" s="1"/>
    </row>
    <row r="830" spans="2:8" x14ac:dyDescent="0.25">
      <c r="B830">
        <v>668.89933648900478</v>
      </c>
      <c r="C830" s="43">
        <f t="shared" si="24"/>
        <v>1337.7986729780096</v>
      </c>
      <c r="D830" s="1">
        <f t="shared" si="25"/>
        <v>1500</v>
      </c>
      <c r="G830" s="1"/>
      <c r="H830" s="1"/>
    </row>
    <row r="831" spans="2:8" x14ac:dyDescent="0.25">
      <c r="B831">
        <v>915.71980263444129</v>
      </c>
      <c r="C831" s="43">
        <f t="shared" si="24"/>
        <v>1831.4396052688826</v>
      </c>
      <c r="D831" s="1">
        <f t="shared" si="25"/>
        <v>1500</v>
      </c>
      <c r="G831" s="1"/>
      <c r="H831" s="1"/>
    </row>
    <row r="832" spans="2:8" x14ac:dyDescent="0.25">
      <c r="B832">
        <v>1264.9794753372698</v>
      </c>
      <c r="C832" s="43">
        <f t="shared" si="24"/>
        <v>2529.9589506745397</v>
      </c>
      <c r="D832" s="1">
        <f t="shared" si="25"/>
        <v>2427.4281636804444</v>
      </c>
      <c r="G832" s="1"/>
      <c r="H832" s="1"/>
    </row>
    <row r="833" spans="2:8" x14ac:dyDescent="0.25">
      <c r="B833">
        <v>1630.1509511152399</v>
      </c>
      <c r="C833" s="43">
        <f t="shared" si="24"/>
        <v>3260.3019022304798</v>
      </c>
      <c r="D833" s="1">
        <f t="shared" si="25"/>
        <v>3705.5283289033396</v>
      </c>
      <c r="G833" s="1"/>
      <c r="H833" s="1"/>
    </row>
    <row r="834" spans="2:8" x14ac:dyDescent="0.25">
      <c r="B834">
        <v>1180.3591389992216</v>
      </c>
      <c r="C834" s="43">
        <f t="shared" si="24"/>
        <v>2360.7182779984432</v>
      </c>
      <c r="D834" s="1">
        <f t="shared" si="25"/>
        <v>2131.2569864972756</v>
      </c>
      <c r="G834" s="1"/>
      <c r="H834" s="1"/>
    </row>
    <row r="835" spans="2:8" x14ac:dyDescent="0.25">
      <c r="B835">
        <v>779.92370123075671</v>
      </c>
      <c r="C835" s="43">
        <f t="shared" si="24"/>
        <v>1559.8474024615134</v>
      </c>
      <c r="D835" s="1">
        <f t="shared" si="25"/>
        <v>1500</v>
      </c>
      <c r="G835" s="1"/>
      <c r="H835" s="1"/>
    </row>
    <row r="836" spans="2:8" x14ac:dyDescent="0.25">
      <c r="B836">
        <v>1125.0432847021439</v>
      </c>
      <c r="C836" s="43">
        <f t="shared" si="24"/>
        <v>2250.0865694042877</v>
      </c>
      <c r="D836" s="1">
        <f t="shared" si="25"/>
        <v>1937.6514964575035</v>
      </c>
      <c r="G836" s="1"/>
      <c r="H836" s="1"/>
    </row>
    <row r="837" spans="2:8" x14ac:dyDescent="0.25">
      <c r="B837">
        <v>762.67200100238551</v>
      </c>
      <c r="C837" s="43">
        <f t="shared" si="24"/>
        <v>1525.344002004771</v>
      </c>
      <c r="D837" s="1">
        <f t="shared" si="25"/>
        <v>1500</v>
      </c>
      <c r="G837" s="1"/>
      <c r="H837" s="1"/>
    </row>
    <row r="838" spans="2:8" x14ac:dyDescent="0.25">
      <c r="B838">
        <v>892.81528019574762</v>
      </c>
      <c r="C838" s="43">
        <f t="shared" si="24"/>
        <v>1785.6305603914952</v>
      </c>
      <c r="D838" s="1">
        <f t="shared" si="25"/>
        <v>1500</v>
      </c>
      <c r="G838" s="1"/>
      <c r="H838" s="1"/>
    </row>
    <row r="839" spans="2:8" x14ac:dyDescent="0.25">
      <c r="B839">
        <v>788.66030051477719</v>
      </c>
      <c r="C839" s="43">
        <f t="shared" si="24"/>
        <v>1577.3206010295544</v>
      </c>
      <c r="D839" s="1">
        <f t="shared" si="25"/>
        <v>1500</v>
      </c>
      <c r="G839" s="1"/>
      <c r="H839" s="1"/>
    </row>
    <row r="840" spans="2:8" x14ac:dyDescent="0.25">
      <c r="B840">
        <v>1327.1462565001566</v>
      </c>
      <c r="C840" s="43">
        <f t="shared" si="24"/>
        <v>2654.2925130003132</v>
      </c>
      <c r="D840" s="1">
        <f t="shared" si="25"/>
        <v>2645.0118977505481</v>
      </c>
      <c r="G840" s="1"/>
      <c r="H840" s="1"/>
    </row>
    <row r="841" spans="2:8" x14ac:dyDescent="0.25">
      <c r="B841">
        <v>263.66560703655705</v>
      </c>
      <c r="C841" s="43">
        <f t="shared" si="24"/>
        <v>527.3312140731141</v>
      </c>
      <c r="D841" s="1">
        <f t="shared" si="25"/>
        <v>1500</v>
      </c>
      <c r="G841" s="1"/>
      <c r="H841" s="1"/>
    </row>
    <row r="842" spans="2:8" x14ac:dyDescent="0.25">
      <c r="B842">
        <v>1380.8688329675642</v>
      </c>
      <c r="C842" s="43">
        <f t="shared" si="24"/>
        <v>2761.7376659351285</v>
      </c>
      <c r="D842" s="1">
        <f t="shared" si="25"/>
        <v>2833.0409153864748</v>
      </c>
      <c r="G842" s="1"/>
      <c r="H842" s="1"/>
    </row>
    <row r="843" spans="2:8" x14ac:dyDescent="0.25">
      <c r="B843">
        <v>459.33925392210949</v>
      </c>
      <c r="C843" s="43">
        <f t="shared" si="24"/>
        <v>918.67850784421898</v>
      </c>
      <c r="D843" s="1">
        <f t="shared" si="25"/>
        <v>1500</v>
      </c>
      <c r="G843" s="1"/>
      <c r="H843" s="1"/>
    </row>
    <row r="844" spans="2:8" x14ac:dyDescent="0.25">
      <c r="B844">
        <v>1256.2609147437906</v>
      </c>
      <c r="C844" s="43">
        <f t="shared" si="24"/>
        <v>2512.5218294875813</v>
      </c>
      <c r="D844" s="1">
        <f t="shared" si="25"/>
        <v>2396.9132016032672</v>
      </c>
      <c r="G844" s="1"/>
      <c r="H844" s="1"/>
    </row>
    <row r="845" spans="2:8" x14ac:dyDescent="0.25">
      <c r="B845">
        <v>724.02809180977056</v>
      </c>
      <c r="C845" s="43">
        <f t="shared" si="24"/>
        <v>1448.0561836195411</v>
      </c>
      <c r="D845" s="1">
        <f t="shared" si="25"/>
        <v>1500</v>
      </c>
      <c r="G845" s="1"/>
      <c r="H845" s="1"/>
    </row>
    <row r="846" spans="2:8" x14ac:dyDescent="0.25">
      <c r="B846">
        <v>942.52068223005335</v>
      </c>
      <c r="C846" s="43">
        <f t="shared" si="24"/>
        <v>1885.0413644601067</v>
      </c>
      <c r="D846" s="1">
        <f t="shared" si="25"/>
        <v>1500</v>
      </c>
      <c r="G846" s="1"/>
      <c r="H846" s="1"/>
    </row>
    <row r="847" spans="2:8" x14ac:dyDescent="0.25">
      <c r="B847">
        <v>1264.170251289499</v>
      </c>
      <c r="C847" s="43">
        <f t="shared" si="24"/>
        <v>2528.340502578998</v>
      </c>
      <c r="D847" s="1">
        <f t="shared" si="25"/>
        <v>2424.5958795132465</v>
      </c>
      <c r="G847" s="1"/>
      <c r="H847" s="1"/>
    </row>
    <row r="848" spans="2:8" x14ac:dyDescent="0.25">
      <c r="B848">
        <v>1781.6574934670934</v>
      </c>
      <c r="C848" s="43">
        <f t="shared" si="24"/>
        <v>3563.3149869341869</v>
      </c>
      <c r="D848" s="1">
        <f t="shared" si="25"/>
        <v>4235.8012271348271</v>
      </c>
      <c r="G848" s="1"/>
      <c r="H848" s="1"/>
    </row>
    <row r="849" spans="2:8" x14ac:dyDescent="0.25">
      <c r="B849">
        <v>1735.7335043755593</v>
      </c>
      <c r="C849" s="43">
        <f t="shared" si="24"/>
        <v>3471.4670087511186</v>
      </c>
      <c r="D849" s="1">
        <f t="shared" si="25"/>
        <v>4075.0672653144575</v>
      </c>
      <c r="G849" s="1"/>
      <c r="H849" s="1"/>
    </row>
    <row r="850" spans="2:8" x14ac:dyDescent="0.25">
      <c r="B850">
        <v>1352.8304152999335</v>
      </c>
      <c r="C850" s="43">
        <f t="shared" ref="C850:C913" si="26">B850*2</f>
        <v>2705.660830599867</v>
      </c>
      <c r="D850" s="1">
        <f t="shared" ref="D850:D913" si="27">IF(B850&lt;=1000,1500,1500+(B850-1000)*3.5)</f>
        <v>2734.9064535497673</v>
      </c>
      <c r="G850" s="1"/>
      <c r="H850" s="1"/>
    </row>
    <row r="851" spans="2:8" x14ac:dyDescent="0.25">
      <c r="B851">
        <v>1470.5035057716595</v>
      </c>
      <c r="C851" s="43">
        <f t="shared" si="26"/>
        <v>2941.0070115433191</v>
      </c>
      <c r="D851" s="1">
        <f t="shared" si="27"/>
        <v>3146.7622702008084</v>
      </c>
      <c r="G851" s="1"/>
      <c r="H851" s="1"/>
    </row>
    <row r="852" spans="2:8" x14ac:dyDescent="0.25">
      <c r="B852">
        <v>1615.2484757015482</v>
      </c>
      <c r="C852" s="43">
        <f t="shared" si="26"/>
        <v>3230.4969514030963</v>
      </c>
      <c r="D852" s="1">
        <f t="shared" si="27"/>
        <v>3653.3696649554186</v>
      </c>
      <c r="G852" s="1"/>
      <c r="H852" s="1"/>
    </row>
    <row r="853" spans="2:8" x14ac:dyDescent="0.25">
      <c r="B853">
        <v>771.76685707064462</v>
      </c>
      <c r="C853" s="43">
        <f t="shared" si="26"/>
        <v>1543.5337141412892</v>
      </c>
      <c r="D853" s="1">
        <f t="shared" si="27"/>
        <v>1500</v>
      </c>
      <c r="G853" s="1"/>
      <c r="H853" s="1"/>
    </row>
    <row r="854" spans="2:8" x14ac:dyDescent="0.25">
      <c r="B854">
        <v>1066.9574426459003</v>
      </c>
      <c r="C854" s="43">
        <f t="shared" si="26"/>
        <v>2133.9148852918006</v>
      </c>
      <c r="D854" s="1">
        <f t="shared" si="27"/>
        <v>1734.3510492606511</v>
      </c>
      <c r="G854" s="1"/>
      <c r="H854" s="1"/>
    </row>
    <row r="855" spans="2:8" x14ac:dyDescent="0.25">
      <c r="B855">
        <v>898.61828499243711</v>
      </c>
      <c r="C855" s="43">
        <f t="shared" si="26"/>
        <v>1797.2365699848742</v>
      </c>
      <c r="D855" s="1">
        <f t="shared" si="27"/>
        <v>1500</v>
      </c>
      <c r="G855" s="1"/>
      <c r="H855" s="1"/>
    </row>
    <row r="856" spans="2:8" x14ac:dyDescent="0.25">
      <c r="B856">
        <v>753.58637403161265</v>
      </c>
      <c r="C856" s="43">
        <f t="shared" si="26"/>
        <v>1507.1727480632253</v>
      </c>
      <c r="D856" s="1">
        <f t="shared" si="27"/>
        <v>1500</v>
      </c>
      <c r="G856" s="1"/>
      <c r="H856" s="1"/>
    </row>
    <row r="857" spans="2:8" x14ac:dyDescent="0.25">
      <c r="B857">
        <v>2010.334392963443</v>
      </c>
      <c r="C857" s="43">
        <f t="shared" si="26"/>
        <v>4020.6687859268859</v>
      </c>
      <c r="D857" s="1">
        <f t="shared" si="27"/>
        <v>5036.1703753720503</v>
      </c>
      <c r="G857" s="1"/>
      <c r="H857" s="1"/>
    </row>
    <row r="858" spans="2:8" x14ac:dyDescent="0.25">
      <c r="B858">
        <v>995.28930562092864</v>
      </c>
      <c r="C858" s="43">
        <f t="shared" si="26"/>
        <v>1990.5786112418573</v>
      </c>
      <c r="D858" s="1">
        <f t="shared" si="27"/>
        <v>1500</v>
      </c>
      <c r="G858" s="1"/>
      <c r="H858" s="1"/>
    </row>
    <row r="859" spans="2:8" x14ac:dyDescent="0.25">
      <c r="B859">
        <v>1527.309439808334</v>
      </c>
      <c r="C859" s="43">
        <f t="shared" si="26"/>
        <v>3054.618879616668</v>
      </c>
      <c r="D859" s="1">
        <f t="shared" si="27"/>
        <v>3345.583039329169</v>
      </c>
      <c r="G859" s="1"/>
      <c r="H859" s="1"/>
    </row>
    <row r="860" spans="2:8" x14ac:dyDescent="0.25">
      <c r="B860">
        <v>1029.6941225363407</v>
      </c>
      <c r="C860" s="43">
        <f t="shared" si="26"/>
        <v>2059.3882450726815</v>
      </c>
      <c r="D860" s="1">
        <f t="shared" si="27"/>
        <v>1603.9294288771925</v>
      </c>
      <c r="G860" s="1"/>
      <c r="H860" s="1"/>
    </row>
    <row r="861" spans="2:8" x14ac:dyDescent="0.25">
      <c r="B861">
        <v>1427.2072924371168</v>
      </c>
      <c r="C861" s="43">
        <f t="shared" si="26"/>
        <v>2854.4145848742337</v>
      </c>
      <c r="D861" s="1">
        <f t="shared" si="27"/>
        <v>2995.225523529909</v>
      </c>
      <c r="G861" s="1"/>
      <c r="H861" s="1"/>
    </row>
    <row r="862" spans="2:8" x14ac:dyDescent="0.25">
      <c r="B862">
        <v>1384.2852770551981</v>
      </c>
      <c r="C862" s="43">
        <f t="shared" si="26"/>
        <v>2768.5705541103962</v>
      </c>
      <c r="D862" s="1">
        <f t="shared" si="27"/>
        <v>2844.9984696931933</v>
      </c>
      <c r="G862" s="1"/>
      <c r="H862" s="1"/>
    </row>
    <row r="863" spans="2:8" x14ac:dyDescent="0.25">
      <c r="B863">
        <v>1116.4535119690408</v>
      </c>
      <c r="C863" s="43">
        <f t="shared" si="26"/>
        <v>2232.9070239380817</v>
      </c>
      <c r="D863" s="1">
        <f t="shared" si="27"/>
        <v>1907.587291891643</v>
      </c>
      <c r="G863" s="1"/>
      <c r="H863" s="1"/>
    </row>
    <row r="864" spans="2:8" x14ac:dyDescent="0.25">
      <c r="B864">
        <v>1243.835193491861</v>
      </c>
      <c r="C864" s="43">
        <f t="shared" si="26"/>
        <v>2487.670386983722</v>
      </c>
      <c r="D864" s="1">
        <f t="shared" si="27"/>
        <v>2353.4231772215135</v>
      </c>
      <c r="G864" s="1"/>
      <c r="H864" s="1"/>
    </row>
    <row r="865" spans="2:8" x14ac:dyDescent="0.25">
      <c r="B865">
        <v>772.73255627125036</v>
      </c>
      <c r="C865" s="43">
        <f t="shared" si="26"/>
        <v>1545.4651125425007</v>
      </c>
      <c r="D865" s="1">
        <f t="shared" si="27"/>
        <v>1500</v>
      </c>
      <c r="G865" s="1"/>
      <c r="H865" s="1"/>
    </row>
    <row r="866" spans="2:8" x14ac:dyDescent="0.25">
      <c r="B866">
        <v>1012.3132149431622</v>
      </c>
      <c r="C866" s="43">
        <f t="shared" si="26"/>
        <v>2024.6264298863243</v>
      </c>
      <c r="D866" s="1">
        <f t="shared" si="27"/>
        <v>1543.0962523010676</v>
      </c>
      <c r="G866" s="1"/>
      <c r="H866" s="1"/>
    </row>
    <row r="867" spans="2:8" x14ac:dyDescent="0.25">
      <c r="B867">
        <v>1180.1884006957262</v>
      </c>
      <c r="C867" s="43">
        <f t="shared" si="26"/>
        <v>2360.3768013914523</v>
      </c>
      <c r="D867" s="1">
        <f t="shared" si="27"/>
        <v>2130.6594024350416</v>
      </c>
      <c r="G867" s="1"/>
      <c r="H867" s="1"/>
    </row>
    <row r="868" spans="2:8" x14ac:dyDescent="0.25">
      <c r="B868">
        <v>629.19156405888498</v>
      </c>
      <c r="C868" s="43">
        <f t="shared" si="26"/>
        <v>1258.38312811777</v>
      </c>
      <c r="D868" s="1">
        <f t="shared" si="27"/>
        <v>1500</v>
      </c>
      <c r="G868" s="1"/>
      <c r="H868" s="1"/>
    </row>
    <row r="869" spans="2:8" x14ac:dyDescent="0.25">
      <c r="B869">
        <v>999.32284072684706</v>
      </c>
      <c r="C869" s="43">
        <f t="shared" si="26"/>
        <v>1998.6456814536941</v>
      </c>
      <c r="D869" s="1">
        <f t="shared" si="27"/>
        <v>1500</v>
      </c>
      <c r="G869" s="1"/>
      <c r="H869" s="1"/>
    </row>
    <row r="870" spans="2:8" x14ac:dyDescent="0.25">
      <c r="B870">
        <v>599.48729429498781</v>
      </c>
      <c r="C870" s="43">
        <f t="shared" si="26"/>
        <v>1198.9745885899756</v>
      </c>
      <c r="D870" s="1">
        <f t="shared" si="27"/>
        <v>1500</v>
      </c>
      <c r="G870" s="1"/>
      <c r="H870" s="1"/>
    </row>
    <row r="871" spans="2:8" x14ac:dyDescent="0.25">
      <c r="B871">
        <v>938.55258981540101</v>
      </c>
      <c r="C871" s="43">
        <f t="shared" si="26"/>
        <v>1877.105179630802</v>
      </c>
      <c r="D871" s="1">
        <f t="shared" si="27"/>
        <v>1500</v>
      </c>
      <c r="G871" s="1"/>
      <c r="H871" s="1"/>
    </row>
    <row r="872" spans="2:8" x14ac:dyDescent="0.25">
      <c r="B872">
        <v>682.40570115568698</v>
      </c>
      <c r="C872" s="43">
        <f t="shared" si="26"/>
        <v>1364.811402311374</v>
      </c>
      <c r="D872" s="1">
        <f t="shared" si="27"/>
        <v>1500</v>
      </c>
      <c r="G872" s="1"/>
      <c r="H872" s="1"/>
    </row>
    <row r="873" spans="2:8" x14ac:dyDescent="0.25">
      <c r="B873">
        <v>1578.3824262883281</v>
      </c>
      <c r="C873" s="43">
        <f t="shared" si="26"/>
        <v>3156.7648525766563</v>
      </c>
      <c r="D873" s="1">
        <f t="shared" si="27"/>
        <v>3524.3384920091485</v>
      </c>
      <c r="G873" s="1"/>
      <c r="H873" s="1"/>
    </row>
    <row r="874" spans="2:8" x14ac:dyDescent="0.25">
      <c r="B874">
        <v>1067.7905784462491</v>
      </c>
      <c r="C874" s="43">
        <f t="shared" si="26"/>
        <v>2135.5811568924983</v>
      </c>
      <c r="D874" s="1">
        <f t="shared" si="27"/>
        <v>1737.2670245618719</v>
      </c>
      <c r="G874" s="1"/>
      <c r="H874" s="1"/>
    </row>
    <row r="875" spans="2:8" x14ac:dyDescent="0.25">
      <c r="B875">
        <v>762.29360800544964</v>
      </c>
      <c r="C875" s="43">
        <f t="shared" si="26"/>
        <v>1524.5872160108993</v>
      </c>
      <c r="D875" s="1">
        <f t="shared" si="27"/>
        <v>1500</v>
      </c>
      <c r="G875" s="1"/>
      <c r="H875" s="1"/>
    </row>
    <row r="876" spans="2:8" x14ac:dyDescent="0.25">
      <c r="B876">
        <v>1175.9560204894224</v>
      </c>
      <c r="C876" s="43">
        <f t="shared" si="26"/>
        <v>2351.9120409788447</v>
      </c>
      <c r="D876" s="1">
        <f t="shared" si="27"/>
        <v>2115.8460717129783</v>
      </c>
      <c r="G876" s="1"/>
      <c r="H876" s="1"/>
    </row>
    <row r="877" spans="2:8" x14ac:dyDescent="0.25">
      <c r="B877">
        <v>884.10301216873631</v>
      </c>
      <c r="C877" s="43">
        <f t="shared" si="26"/>
        <v>1768.2060243374726</v>
      </c>
      <c r="D877" s="1">
        <f t="shared" si="27"/>
        <v>1500</v>
      </c>
      <c r="G877" s="1"/>
      <c r="H877" s="1"/>
    </row>
    <row r="878" spans="2:8" x14ac:dyDescent="0.25">
      <c r="B878">
        <v>901.49734390371304</v>
      </c>
      <c r="C878" s="43">
        <f t="shared" si="26"/>
        <v>1802.9946878074261</v>
      </c>
      <c r="D878" s="1">
        <f t="shared" si="27"/>
        <v>1500</v>
      </c>
      <c r="G878" s="1"/>
      <c r="H878" s="1"/>
    </row>
    <row r="879" spans="2:8" x14ac:dyDescent="0.25">
      <c r="B879">
        <v>757.82336878665956</v>
      </c>
      <c r="C879" s="43">
        <f t="shared" si="26"/>
        <v>1515.6467375733191</v>
      </c>
      <c r="D879" s="1">
        <f t="shared" si="27"/>
        <v>1500</v>
      </c>
      <c r="G879" s="1"/>
      <c r="H879" s="1"/>
    </row>
    <row r="880" spans="2:8" x14ac:dyDescent="0.25">
      <c r="B880">
        <v>837.27373251468816</v>
      </c>
      <c r="C880" s="43">
        <f t="shared" si="26"/>
        <v>1674.5474650293763</v>
      </c>
      <c r="D880" s="1">
        <f t="shared" si="27"/>
        <v>1500</v>
      </c>
      <c r="G880" s="1"/>
      <c r="H880" s="1"/>
    </row>
    <row r="881" spans="2:8" x14ac:dyDescent="0.25">
      <c r="B881">
        <v>1389.753936820227</v>
      </c>
      <c r="C881" s="43">
        <f t="shared" si="26"/>
        <v>2779.5078736404539</v>
      </c>
      <c r="D881" s="1">
        <f t="shared" si="27"/>
        <v>2864.1387788707943</v>
      </c>
      <c r="G881" s="1"/>
      <c r="H881" s="1"/>
    </row>
    <row r="882" spans="2:8" x14ac:dyDescent="0.25">
      <c r="B882">
        <v>1433.7129671560542</v>
      </c>
      <c r="C882" s="43">
        <f t="shared" si="26"/>
        <v>2867.4259343121084</v>
      </c>
      <c r="D882" s="1">
        <f t="shared" si="27"/>
        <v>3017.9953850461898</v>
      </c>
      <c r="G882" s="1"/>
      <c r="H882" s="1"/>
    </row>
    <row r="883" spans="2:8" x14ac:dyDescent="0.25">
      <c r="B883">
        <v>1365.55398469801</v>
      </c>
      <c r="C883" s="43">
        <f t="shared" si="26"/>
        <v>2731.1079693960201</v>
      </c>
      <c r="D883" s="1">
        <f t="shared" si="27"/>
        <v>2779.4389464430351</v>
      </c>
      <c r="G883" s="1"/>
      <c r="H883" s="1"/>
    </row>
    <row r="884" spans="2:8" x14ac:dyDescent="0.25">
      <c r="B884">
        <v>560.62440378929023</v>
      </c>
      <c r="C884" s="43">
        <f t="shared" si="26"/>
        <v>1121.2488075785805</v>
      </c>
      <c r="D884" s="1">
        <f t="shared" si="27"/>
        <v>1500</v>
      </c>
      <c r="G884" s="1"/>
      <c r="H884" s="1"/>
    </row>
    <row r="885" spans="2:8" x14ac:dyDescent="0.25">
      <c r="B885">
        <v>809.52561191344284</v>
      </c>
      <c r="C885" s="43">
        <f t="shared" si="26"/>
        <v>1619.0512238268857</v>
      </c>
      <c r="D885" s="1">
        <f t="shared" si="27"/>
        <v>1500</v>
      </c>
      <c r="G885" s="1"/>
      <c r="H885" s="1"/>
    </row>
    <row r="886" spans="2:8" x14ac:dyDescent="0.25">
      <c r="B886">
        <v>885.56498511144309</v>
      </c>
      <c r="C886" s="43">
        <f t="shared" si="26"/>
        <v>1771.1299702228862</v>
      </c>
      <c r="D886" s="1">
        <f t="shared" si="27"/>
        <v>1500</v>
      </c>
      <c r="G886" s="1"/>
      <c r="H886" s="1"/>
    </row>
    <row r="887" spans="2:8" x14ac:dyDescent="0.25">
      <c r="B887">
        <v>1636.8504368813883</v>
      </c>
      <c r="C887" s="43">
        <f t="shared" si="26"/>
        <v>3273.7008737627766</v>
      </c>
      <c r="D887" s="1">
        <f t="shared" si="27"/>
        <v>3728.9765290848591</v>
      </c>
      <c r="G887" s="1"/>
      <c r="H887" s="1"/>
    </row>
    <row r="888" spans="2:8" x14ac:dyDescent="0.25">
      <c r="B888">
        <v>983.57758091088908</v>
      </c>
      <c r="C888" s="43">
        <f t="shared" si="26"/>
        <v>1967.1551618217782</v>
      </c>
      <c r="D888" s="1">
        <f t="shared" si="27"/>
        <v>1500</v>
      </c>
      <c r="G888" s="1"/>
      <c r="H888" s="1"/>
    </row>
    <row r="889" spans="2:8" x14ac:dyDescent="0.25">
      <c r="B889">
        <v>1071.9520624036813</v>
      </c>
      <c r="C889" s="43">
        <f t="shared" si="26"/>
        <v>2143.9041248073627</v>
      </c>
      <c r="D889" s="1">
        <f t="shared" si="27"/>
        <v>1751.8322184128847</v>
      </c>
      <c r="G889" s="1"/>
      <c r="H889" s="1"/>
    </row>
    <row r="890" spans="2:8" x14ac:dyDescent="0.25">
      <c r="B890">
        <v>1281.6019189188519</v>
      </c>
      <c r="C890" s="43">
        <f t="shared" si="26"/>
        <v>2563.2038378377038</v>
      </c>
      <c r="D890" s="1">
        <f t="shared" si="27"/>
        <v>2485.6067162159816</v>
      </c>
      <c r="G890" s="1"/>
      <c r="H890" s="1"/>
    </row>
    <row r="891" spans="2:8" x14ac:dyDescent="0.25">
      <c r="B891">
        <v>785.34034244631766</v>
      </c>
      <c r="C891" s="43">
        <f t="shared" si="26"/>
        <v>1570.6806848926353</v>
      </c>
      <c r="D891" s="1">
        <f t="shared" si="27"/>
        <v>1500</v>
      </c>
      <c r="G891" s="1"/>
      <c r="H891" s="1"/>
    </row>
    <row r="892" spans="2:8" x14ac:dyDescent="0.25">
      <c r="B892">
        <v>1175.3884309940186</v>
      </c>
      <c r="C892" s="43">
        <f t="shared" si="26"/>
        <v>2350.7768619880371</v>
      </c>
      <c r="D892" s="1">
        <f t="shared" si="27"/>
        <v>2113.859508479065</v>
      </c>
      <c r="G892" s="1"/>
      <c r="H892" s="1"/>
    </row>
    <row r="893" spans="2:8" x14ac:dyDescent="0.25">
      <c r="B893">
        <v>1345.4047673633904</v>
      </c>
      <c r="C893" s="43">
        <f t="shared" si="26"/>
        <v>2690.8095347267808</v>
      </c>
      <c r="D893" s="1">
        <f t="shared" si="27"/>
        <v>2708.9166857718665</v>
      </c>
      <c r="G893" s="1"/>
      <c r="H893" s="1"/>
    </row>
    <row r="894" spans="2:8" x14ac:dyDescent="0.25">
      <c r="B894">
        <v>1288.0861989117984</v>
      </c>
      <c r="C894" s="43">
        <f t="shared" si="26"/>
        <v>2576.1723978235968</v>
      </c>
      <c r="D894" s="1">
        <f t="shared" si="27"/>
        <v>2508.3016961912945</v>
      </c>
      <c r="G894" s="1"/>
      <c r="H894" s="1"/>
    </row>
    <row r="895" spans="2:8" x14ac:dyDescent="0.25">
      <c r="B895">
        <v>1874.676728022052</v>
      </c>
      <c r="C895" s="43">
        <f t="shared" si="26"/>
        <v>3749.353456044104</v>
      </c>
      <c r="D895" s="1">
        <f t="shared" si="27"/>
        <v>4561.3685480771819</v>
      </c>
      <c r="G895" s="1"/>
      <c r="H895" s="1"/>
    </row>
    <row r="896" spans="2:8" x14ac:dyDescent="0.25">
      <c r="B896">
        <v>1081.8779567501333</v>
      </c>
      <c r="C896" s="43">
        <f t="shared" si="26"/>
        <v>2163.7559135002666</v>
      </c>
      <c r="D896" s="1">
        <f t="shared" si="27"/>
        <v>1786.5728486254666</v>
      </c>
      <c r="G896" s="1"/>
      <c r="H896" s="1"/>
    </row>
    <row r="897" spans="2:8" x14ac:dyDescent="0.25">
      <c r="B897">
        <v>1289.3153468951932</v>
      </c>
      <c r="C897" s="43">
        <f t="shared" si="26"/>
        <v>2578.6306937903864</v>
      </c>
      <c r="D897" s="1">
        <f t="shared" si="27"/>
        <v>2512.6037141331763</v>
      </c>
      <c r="G897" s="1"/>
      <c r="H897" s="1"/>
    </row>
    <row r="898" spans="2:8" x14ac:dyDescent="0.25">
      <c r="B898">
        <v>613.83937989495462</v>
      </c>
      <c r="C898" s="43">
        <f t="shared" si="26"/>
        <v>1227.6787597899092</v>
      </c>
      <c r="D898" s="1">
        <f t="shared" si="27"/>
        <v>1500</v>
      </c>
      <c r="G898" s="1"/>
      <c r="H898" s="1"/>
    </row>
    <row r="899" spans="2:8" x14ac:dyDescent="0.25">
      <c r="B899">
        <v>1021.598945527614</v>
      </c>
      <c r="C899" s="43">
        <f t="shared" si="26"/>
        <v>2043.197891055228</v>
      </c>
      <c r="D899" s="1">
        <f t="shared" si="27"/>
        <v>1575.5963093466489</v>
      </c>
      <c r="G899" s="1"/>
      <c r="H899" s="1"/>
    </row>
    <row r="900" spans="2:8" x14ac:dyDescent="0.25">
      <c r="B900">
        <v>1844.0159881550353</v>
      </c>
      <c r="C900" s="43">
        <f t="shared" si="26"/>
        <v>3688.0319763100706</v>
      </c>
      <c r="D900" s="1">
        <f t="shared" si="27"/>
        <v>4454.0559585426236</v>
      </c>
      <c r="G900" s="1"/>
      <c r="H900" s="1"/>
    </row>
    <row r="901" spans="2:8" x14ac:dyDescent="0.25">
      <c r="B901">
        <v>1391.0762147873465</v>
      </c>
      <c r="C901" s="43">
        <f t="shared" si="26"/>
        <v>2782.1524295746931</v>
      </c>
      <c r="D901" s="1">
        <f t="shared" si="27"/>
        <v>2868.7667517557129</v>
      </c>
      <c r="G901" s="1"/>
      <c r="H901" s="1"/>
    </row>
    <row r="902" spans="2:8" x14ac:dyDescent="0.25">
      <c r="B902">
        <v>599.65174003201537</v>
      </c>
      <c r="C902" s="43">
        <f t="shared" si="26"/>
        <v>1199.3034800640307</v>
      </c>
      <c r="D902" s="1">
        <f t="shared" si="27"/>
        <v>1500</v>
      </c>
      <c r="G902" s="1"/>
      <c r="H902" s="1"/>
    </row>
    <row r="903" spans="2:8" x14ac:dyDescent="0.25">
      <c r="B903">
        <v>1159.1863308524917</v>
      </c>
      <c r="C903" s="43">
        <f t="shared" si="26"/>
        <v>2318.3726617049833</v>
      </c>
      <c r="D903" s="1">
        <f t="shared" si="27"/>
        <v>2057.1521579837208</v>
      </c>
      <c r="G903" s="1"/>
      <c r="H903" s="1"/>
    </row>
    <row r="904" spans="2:8" x14ac:dyDescent="0.25">
      <c r="B904">
        <v>890.91450561801321</v>
      </c>
      <c r="C904" s="43">
        <f t="shared" si="26"/>
        <v>1781.8290112360264</v>
      </c>
      <c r="D904" s="1">
        <f t="shared" si="27"/>
        <v>1500</v>
      </c>
      <c r="G904" s="1"/>
      <c r="H904" s="1"/>
    </row>
    <row r="905" spans="2:8" x14ac:dyDescent="0.25">
      <c r="B905">
        <v>1061.6041465994495</v>
      </c>
      <c r="C905" s="43">
        <f t="shared" si="26"/>
        <v>2123.2082931988989</v>
      </c>
      <c r="D905" s="1">
        <f t="shared" si="27"/>
        <v>1715.6145130980731</v>
      </c>
      <c r="G905" s="1"/>
      <c r="H905" s="1"/>
    </row>
    <row r="906" spans="2:8" x14ac:dyDescent="0.25">
      <c r="B906">
        <v>1198.2384178566572</v>
      </c>
      <c r="C906" s="43">
        <f t="shared" si="26"/>
        <v>2396.4768357133144</v>
      </c>
      <c r="D906" s="1">
        <f t="shared" si="27"/>
        <v>2193.8344624983001</v>
      </c>
      <c r="G906" s="1"/>
      <c r="H906" s="1"/>
    </row>
    <row r="907" spans="2:8" x14ac:dyDescent="0.25">
      <c r="B907">
        <v>1208.9978675078892</v>
      </c>
      <c r="C907" s="43">
        <f t="shared" si="26"/>
        <v>2417.9957350157783</v>
      </c>
      <c r="D907" s="1">
        <f t="shared" si="27"/>
        <v>2231.4925362776121</v>
      </c>
      <c r="G907" s="1"/>
      <c r="H907" s="1"/>
    </row>
    <row r="908" spans="2:8" x14ac:dyDescent="0.25">
      <c r="B908">
        <v>1146.8952705229749</v>
      </c>
      <c r="C908" s="43">
        <f t="shared" si="26"/>
        <v>2293.7905410459498</v>
      </c>
      <c r="D908" s="1">
        <f t="shared" si="27"/>
        <v>2014.1334468304121</v>
      </c>
      <c r="G908" s="1"/>
      <c r="H908" s="1"/>
    </row>
    <row r="909" spans="2:8" x14ac:dyDescent="0.25">
      <c r="B909">
        <v>981.17382052015455</v>
      </c>
      <c r="C909" s="43">
        <f t="shared" si="26"/>
        <v>1962.3476410403091</v>
      </c>
      <c r="D909" s="1">
        <f t="shared" si="27"/>
        <v>1500</v>
      </c>
      <c r="G909" s="1"/>
      <c r="H909" s="1"/>
    </row>
    <row r="910" spans="2:8" x14ac:dyDescent="0.25">
      <c r="B910">
        <v>1600.778089851985</v>
      </c>
      <c r="C910" s="43">
        <f t="shared" si="26"/>
        <v>3201.55617970397</v>
      </c>
      <c r="D910" s="1">
        <f t="shared" si="27"/>
        <v>3602.7233144819475</v>
      </c>
      <c r="G910" s="1"/>
      <c r="H910" s="1"/>
    </row>
    <row r="911" spans="2:8" x14ac:dyDescent="0.25">
      <c r="B911">
        <v>1549.7084594074404</v>
      </c>
      <c r="C911" s="43">
        <f t="shared" si="26"/>
        <v>3099.4169188148808</v>
      </c>
      <c r="D911" s="1">
        <f t="shared" si="27"/>
        <v>3423.9796079260414</v>
      </c>
      <c r="G911" s="1"/>
      <c r="H911" s="1"/>
    </row>
    <row r="912" spans="2:8" x14ac:dyDescent="0.25">
      <c r="B912">
        <v>853.93099496405921</v>
      </c>
      <c r="C912" s="43">
        <f t="shared" si="26"/>
        <v>1707.8619899281184</v>
      </c>
      <c r="D912" s="1">
        <f t="shared" si="27"/>
        <v>1500</v>
      </c>
      <c r="G912" s="1"/>
      <c r="H912" s="1"/>
    </row>
    <row r="913" spans="2:8" x14ac:dyDescent="0.25">
      <c r="B913">
        <v>801.19677093654172</v>
      </c>
      <c r="C913" s="43">
        <f t="shared" si="26"/>
        <v>1602.3935418730834</v>
      </c>
      <c r="D913" s="1">
        <f t="shared" si="27"/>
        <v>1500</v>
      </c>
      <c r="G913" s="1"/>
      <c r="H913" s="1"/>
    </row>
    <row r="914" spans="2:8" x14ac:dyDescent="0.25">
      <c r="B914">
        <v>879.54971107257006</v>
      </c>
      <c r="C914" s="43">
        <f t="shared" ref="C914:C977" si="28">B914*2</f>
        <v>1759.0994221451401</v>
      </c>
      <c r="D914" s="1">
        <f t="shared" ref="D914:D977" si="29">IF(B914&lt;=1000,1500,1500+(B914-1000)*3.5)</f>
        <v>1500</v>
      </c>
      <c r="G914" s="1"/>
      <c r="H914" s="1"/>
    </row>
    <row r="915" spans="2:8" x14ac:dyDescent="0.25">
      <c r="B915">
        <v>1371.3620235478738</v>
      </c>
      <c r="C915" s="43">
        <f t="shared" si="28"/>
        <v>2742.7240470957477</v>
      </c>
      <c r="D915" s="1">
        <f t="shared" si="29"/>
        <v>2799.7670824175584</v>
      </c>
      <c r="G915" s="1"/>
      <c r="H915" s="1"/>
    </row>
    <row r="916" spans="2:8" x14ac:dyDescent="0.25">
      <c r="B916">
        <v>843.89980500537786</v>
      </c>
      <c r="C916" s="43">
        <f t="shared" si="28"/>
        <v>1687.7996100107557</v>
      </c>
      <c r="D916" s="1">
        <f t="shared" si="29"/>
        <v>1500</v>
      </c>
      <c r="G916" s="1"/>
      <c r="H916" s="1"/>
    </row>
    <row r="917" spans="2:8" x14ac:dyDescent="0.25">
      <c r="B917">
        <v>1060.4219831123482</v>
      </c>
      <c r="C917" s="43">
        <f t="shared" si="28"/>
        <v>2120.8439662246965</v>
      </c>
      <c r="D917" s="1">
        <f t="shared" si="29"/>
        <v>1711.4769408932189</v>
      </c>
      <c r="G917" s="1"/>
      <c r="H917" s="1"/>
    </row>
    <row r="918" spans="2:8" x14ac:dyDescent="0.25">
      <c r="B918">
        <v>1547.0806836504489</v>
      </c>
      <c r="C918" s="43">
        <f t="shared" si="28"/>
        <v>3094.1613673008978</v>
      </c>
      <c r="D918" s="1">
        <f t="shared" si="29"/>
        <v>3414.7823927765712</v>
      </c>
      <c r="G918" s="1"/>
      <c r="H918" s="1"/>
    </row>
    <row r="919" spans="2:8" x14ac:dyDescent="0.25">
      <c r="B919">
        <v>1755.0709806358209</v>
      </c>
      <c r="C919" s="43">
        <f t="shared" si="28"/>
        <v>3510.1419612716418</v>
      </c>
      <c r="D919" s="1">
        <f t="shared" si="29"/>
        <v>4142.7484322253731</v>
      </c>
      <c r="G919" s="1"/>
      <c r="H919" s="1"/>
    </row>
    <row r="920" spans="2:8" x14ac:dyDescent="0.25">
      <c r="B920">
        <v>486.14726509305183</v>
      </c>
      <c r="C920" s="43">
        <f t="shared" si="28"/>
        <v>972.29453018610366</v>
      </c>
      <c r="D920" s="1">
        <f t="shared" si="29"/>
        <v>1500</v>
      </c>
      <c r="G920" s="1"/>
      <c r="H920" s="1"/>
    </row>
    <row r="921" spans="2:8" x14ac:dyDescent="0.25">
      <c r="B921">
        <v>959.73085151973646</v>
      </c>
      <c r="C921" s="43">
        <f t="shared" si="28"/>
        <v>1919.4617030394729</v>
      </c>
      <c r="D921" s="1">
        <f t="shared" si="29"/>
        <v>1500</v>
      </c>
      <c r="G921" s="1"/>
      <c r="H921" s="1"/>
    </row>
    <row r="922" spans="2:8" x14ac:dyDescent="0.25">
      <c r="B922">
        <v>1309.0597424537118</v>
      </c>
      <c r="C922" s="43">
        <f t="shared" si="28"/>
        <v>2618.1194849074236</v>
      </c>
      <c r="D922" s="1">
        <f t="shared" si="29"/>
        <v>2581.7090985879913</v>
      </c>
      <c r="G922" s="1"/>
      <c r="H922" s="1"/>
    </row>
    <row r="923" spans="2:8" x14ac:dyDescent="0.25">
      <c r="B923">
        <v>697.74697820440633</v>
      </c>
      <c r="C923" s="43">
        <f t="shared" si="28"/>
        <v>1395.4939564088127</v>
      </c>
      <c r="D923" s="1">
        <f t="shared" si="29"/>
        <v>1500</v>
      </c>
      <c r="G923" s="1"/>
      <c r="H923" s="1"/>
    </row>
    <row r="924" spans="2:8" x14ac:dyDescent="0.25">
      <c r="B924">
        <v>1027.6603650539182</v>
      </c>
      <c r="C924" s="43">
        <f t="shared" si="28"/>
        <v>2055.3207301078364</v>
      </c>
      <c r="D924" s="1">
        <f t="shared" si="29"/>
        <v>1596.8112776887137</v>
      </c>
      <c r="G924" s="1"/>
      <c r="H924" s="1"/>
    </row>
    <row r="925" spans="2:8" x14ac:dyDescent="0.25">
      <c r="B925">
        <v>1510.9034605132474</v>
      </c>
      <c r="C925" s="43">
        <f t="shared" si="28"/>
        <v>3021.8069210264948</v>
      </c>
      <c r="D925" s="1">
        <f t="shared" si="29"/>
        <v>3288.1621117963659</v>
      </c>
      <c r="G925" s="1"/>
      <c r="H925" s="1"/>
    </row>
    <row r="926" spans="2:8" x14ac:dyDescent="0.25">
      <c r="B926">
        <v>808.81329338927753</v>
      </c>
      <c r="C926" s="43">
        <f t="shared" si="28"/>
        <v>1617.6265867785551</v>
      </c>
      <c r="D926" s="1">
        <f t="shared" si="29"/>
        <v>1500</v>
      </c>
      <c r="G926" s="1"/>
      <c r="H926" s="1"/>
    </row>
    <row r="927" spans="2:8" x14ac:dyDescent="0.25">
      <c r="B927">
        <v>1788.6548273793887</v>
      </c>
      <c r="C927" s="43">
        <f t="shared" si="28"/>
        <v>3577.3096547587775</v>
      </c>
      <c r="D927" s="1">
        <f t="shared" si="29"/>
        <v>4260.2918958278606</v>
      </c>
      <c r="G927" s="1"/>
      <c r="H927" s="1"/>
    </row>
    <row r="928" spans="2:8" x14ac:dyDescent="0.25">
      <c r="B928">
        <v>1446.9709851994703</v>
      </c>
      <c r="C928" s="43">
        <f t="shared" si="28"/>
        <v>2893.9419703989406</v>
      </c>
      <c r="D928" s="1">
        <f t="shared" si="29"/>
        <v>3064.3984481981461</v>
      </c>
      <c r="G928" s="1"/>
      <c r="H928" s="1"/>
    </row>
    <row r="929" spans="2:8" x14ac:dyDescent="0.25">
      <c r="B929">
        <v>1233.1051091508125</v>
      </c>
      <c r="C929" s="43">
        <f t="shared" si="28"/>
        <v>2466.210218301625</v>
      </c>
      <c r="D929" s="1">
        <f t="shared" si="29"/>
        <v>2315.8678820278437</v>
      </c>
      <c r="G929" s="1"/>
      <c r="H929" s="1"/>
    </row>
    <row r="930" spans="2:8" x14ac:dyDescent="0.25">
      <c r="B930">
        <v>977.30766768228204</v>
      </c>
      <c r="C930" s="43">
        <f t="shared" si="28"/>
        <v>1954.6153353645641</v>
      </c>
      <c r="D930" s="1">
        <f t="shared" si="29"/>
        <v>1500</v>
      </c>
      <c r="G930" s="1"/>
      <c r="H930" s="1"/>
    </row>
    <row r="931" spans="2:8" x14ac:dyDescent="0.25">
      <c r="B931">
        <v>1726.5497133678873</v>
      </c>
      <c r="C931" s="43">
        <f t="shared" si="28"/>
        <v>3453.0994267357746</v>
      </c>
      <c r="D931" s="1">
        <f t="shared" si="29"/>
        <v>4042.9239967876056</v>
      </c>
      <c r="G931" s="1"/>
      <c r="H931" s="1"/>
    </row>
    <row r="932" spans="2:8" x14ac:dyDescent="0.25">
      <c r="B932">
        <v>1175.5872760944039</v>
      </c>
      <c r="C932" s="43">
        <f t="shared" si="28"/>
        <v>2351.1745521888079</v>
      </c>
      <c r="D932" s="1">
        <f t="shared" si="29"/>
        <v>2114.5554663304138</v>
      </c>
      <c r="G932" s="1"/>
      <c r="H932" s="1"/>
    </row>
    <row r="933" spans="2:8" x14ac:dyDescent="0.25">
      <c r="B933">
        <v>1074.0726573033608</v>
      </c>
      <c r="C933" s="43">
        <f t="shared" si="28"/>
        <v>2148.1453146067215</v>
      </c>
      <c r="D933" s="1">
        <f t="shared" si="29"/>
        <v>1759.2543005617626</v>
      </c>
      <c r="G933" s="1"/>
      <c r="H933" s="1"/>
    </row>
    <row r="934" spans="2:8" x14ac:dyDescent="0.25">
      <c r="B934">
        <v>913.14656245350488</v>
      </c>
      <c r="C934" s="43">
        <f t="shared" si="28"/>
        <v>1826.2931249070098</v>
      </c>
      <c r="D934" s="1">
        <f t="shared" si="29"/>
        <v>1500</v>
      </c>
      <c r="G934" s="1"/>
      <c r="H934" s="1"/>
    </row>
    <row r="935" spans="2:8" x14ac:dyDescent="0.25">
      <c r="B935">
        <v>547.14656542392913</v>
      </c>
      <c r="C935" s="43">
        <f t="shared" si="28"/>
        <v>1094.2931308478583</v>
      </c>
      <c r="D935" s="1">
        <f t="shared" si="29"/>
        <v>1500</v>
      </c>
      <c r="G935" s="1"/>
      <c r="H935" s="1"/>
    </row>
    <row r="936" spans="2:8" x14ac:dyDescent="0.25">
      <c r="B936">
        <v>1431.4568723250995</v>
      </c>
      <c r="C936" s="43">
        <f t="shared" si="28"/>
        <v>2862.9137446501991</v>
      </c>
      <c r="D936" s="1">
        <f t="shared" si="29"/>
        <v>3010.0990531378484</v>
      </c>
      <c r="G936" s="1"/>
      <c r="H936" s="1"/>
    </row>
    <row r="937" spans="2:8" x14ac:dyDescent="0.25">
      <c r="B937">
        <v>1575.1086137072998</v>
      </c>
      <c r="C937" s="43">
        <f t="shared" si="28"/>
        <v>3150.2172274145996</v>
      </c>
      <c r="D937" s="1">
        <f t="shared" si="29"/>
        <v>3512.8801479755493</v>
      </c>
      <c r="G937" s="1"/>
      <c r="H937" s="1"/>
    </row>
    <row r="938" spans="2:8" x14ac:dyDescent="0.25">
      <c r="B938">
        <v>1240.2194847994106</v>
      </c>
      <c r="C938" s="43">
        <f t="shared" si="28"/>
        <v>2480.4389695988211</v>
      </c>
      <c r="D938" s="1">
        <f t="shared" si="29"/>
        <v>2340.768196797937</v>
      </c>
      <c r="G938" s="1"/>
      <c r="H938" s="1"/>
    </row>
    <row r="939" spans="2:8" x14ac:dyDescent="0.25">
      <c r="B939">
        <v>851.42403648325126</v>
      </c>
      <c r="C939" s="43">
        <f t="shared" si="28"/>
        <v>1702.8480729665025</v>
      </c>
      <c r="D939" s="1">
        <f t="shared" si="29"/>
        <v>1500</v>
      </c>
      <c r="G939" s="1"/>
      <c r="H939" s="1"/>
    </row>
    <row r="940" spans="2:8" x14ac:dyDescent="0.25">
      <c r="B940">
        <v>414.12338831042871</v>
      </c>
      <c r="C940" s="43">
        <f t="shared" si="28"/>
        <v>828.24677662085742</v>
      </c>
      <c r="D940" s="1">
        <f t="shared" si="29"/>
        <v>1500</v>
      </c>
      <c r="G940" s="1"/>
      <c r="H940" s="1"/>
    </row>
    <row r="941" spans="2:8" x14ac:dyDescent="0.25">
      <c r="B941">
        <v>790.28797770780511</v>
      </c>
      <c r="C941" s="43">
        <f t="shared" si="28"/>
        <v>1580.5759554156102</v>
      </c>
      <c r="D941" s="1">
        <f t="shared" si="29"/>
        <v>1500</v>
      </c>
      <c r="G941" s="1"/>
      <c r="H941" s="1"/>
    </row>
    <row r="942" spans="2:8" x14ac:dyDescent="0.25">
      <c r="B942">
        <v>726.02828893769765</v>
      </c>
      <c r="C942" s="43">
        <f t="shared" si="28"/>
        <v>1452.0565778753953</v>
      </c>
      <c r="D942" s="1">
        <f t="shared" si="29"/>
        <v>1500</v>
      </c>
      <c r="G942" s="1"/>
      <c r="H942" s="1"/>
    </row>
    <row r="943" spans="2:8" x14ac:dyDescent="0.25">
      <c r="B943">
        <v>873.72069700114662</v>
      </c>
      <c r="C943" s="43">
        <f t="shared" si="28"/>
        <v>1747.4413940022932</v>
      </c>
      <c r="D943" s="1">
        <f t="shared" si="29"/>
        <v>1500</v>
      </c>
      <c r="G943" s="1"/>
      <c r="H943" s="1"/>
    </row>
    <row r="944" spans="2:8" x14ac:dyDescent="0.25">
      <c r="B944">
        <v>1582.2150187717052</v>
      </c>
      <c r="C944" s="43">
        <f t="shared" si="28"/>
        <v>3164.4300375434104</v>
      </c>
      <c r="D944" s="1">
        <f t="shared" si="29"/>
        <v>3537.7525657009683</v>
      </c>
      <c r="G944" s="1"/>
      <c r="H944" s="1"/>
    </row>
    <row r="945" spans="2:8" x14ac:dyDescent="0.25">
      <c r="B945">
        <v>1476.191146849771</v>
      </c>
      <c r="C945" s="43">
        <f t="shared" si="28"/>
        <v>2952.3822936995421</v>
      </c>
      <c r="D945" s="1">
        <f t="shared" si="29"/>
        <v>3166.6690139741986</v>
      </c>
      <c r="G945" s="1"/>
      <c r="H945" s="1"/>
    </row>
    <row r="946" spans="2:8" x14ac:dyDescent="0.25">
      <c r="B946">
        <v>1195.9496016800695</v>
      </c>
      <c r="C946" s="43">
        <f t="shared" si="28"/>
        <v>2391.8992033601389</v>
      </c>
      <c r="D946" s="1">
        <f t="shared" si="29"/>
        <v>2185.8236058802431</v>
      </c>
      <c r="G946" s="1"/>
      <c r="H946" s="1"/>
    </row>
    <row r="947" spans="2:8" x14ac:dyDescent="0.25">
      <c r="B947">
        <v>1263.811155496398</v>
      </c>
      <c r="C947" s="43">
        <f t="shared" si="28"/>
        <v>2527.622310992796</v>
      </c>
      <c r="D947" s="1">
        <f t="shared" si="29"/>
        <v>2423.339044237393</v>
      </c>
      <c r="G947" s="1"/>
      <c r="H947" s="1"/>
    </row>
    <row r="948" spans="2:8" x14ac:dyDescent="0.25">
      <c r="B948">
        <v>838.91944839825737</v>
      </c>
      <c r="C948" s="43">
        <f t="shared" si="28"/>
        <v>1677.8388967965147</v>
      </c>
      <c r="D948" s="1">
        <f t="shared" si="29"/>
        <v>1500</v>
      </c>
      <c r="G948" s="1"/>
      <c r="H948" s="1"/>
    </row>
    <row r="949" spans="2:8" x14ac:dyDescent="0.25">
      <c r="B949">
        <v>1202.3919312298967</v>
      </c>
      <c r="C949" s="43">
        <f t="shared" si="28"/>
        <v>2404.7838624597935</v>
      </c>
      <c r="D949" s="1">
        <f t="shared" si="29"/>
        <v>2208.3717593046385</v>
      </c>
      <c r="G949" s="1"/>
      <c r="H949" s="1"/>
    </row>
    <row r="950" spans="2:8" x14ac:dyDescent="0.25">
      <c r="B950">
        <v>1021.9546852852654</v>
      </c>
      <c r="C950" s="43">
        <f t="shared" si="28"/>
        <v>2043.9093705705309</v>
      </c>
      <c r="D950" s="1">
        <f t="shared" si="29"/>
        <v>1576.841398498429</v>
      </c>
      <c r="G950" s="1"/>
      <c r="H950" s="1"/>
    </row>
    <row r="951" spans="2:8" x14ac:dyDescent="0.25">
      <c r="B951">
        <v>988.48829978243157</v>
      </c>
      <c r="C951" s="43">
        <f t="shared" si="28"/>
        <v>1976.9765995648631</v>
      </c>
      <c r="D951" s="1">
        <f t="shared" si="29"/>
        <v>1500</v>
      </c>
      <c r="G951" s="1"/>
      <c r="H951" s="1"/>
    </row>
    <row r="952" spans="2:8" x14ac:dyDescent="0.25">
      <c r="B952">
        <v>1243.1581133399159</v>
      </c>
      <c r="C952" s="43">
        <f t="shared" si="28"/>
        <v>2486.3162266798317</v>
      </c>
      <c r="D952" s="1">
        <f t="shared" si="29"/>
        <v>2351.0533966897056</v>
      </c>
      <c r="G952" s="1"/>
      <c r="H952" s="1"/>
    </row>
    <row r="953" spans="2:8" x14ac:dyDescent="0.25">
      <c r="B953">
        <v>1456.6388843207387</v>
      </c>
      <c r="C953" s="43">
        <f t="shared" si="28"/>
        <v>2913.2777686414775</v>
      </c>
      <c r="D953" s="1">
        <f t="shared" si="29"/>
        <v>3098.2360951225855</v>
      </c>
      <c r="G953" s="1"/>
      <c r="H953" s="1"/>
    </row>
    <row r="954" spans="2:8" x14ac:dyDescent="0.25">
      <c r="B954">
        <v>830.86831935480586</v>
      </c>
      <c r="C954" s="43">
        <f t="shared" si="28"/>
        <v>1661.7366387096117</v>
      </c>
      <c r="D954" s="1">
        <f t="shared" si="29"/>
        <v>1500</v>
      </c>
      <c r="G954" s="1"/>
      <c r="H954" s="1"/>
    </row>
    <row r="955" spans="2:8" x14ac:dyDescent="0.25">
      <c r="B955">
        <v>1259.1794070715987</v>
      </c>
      <c r="C955" s="43">
        <f t="shared" si="28"/>
        <v>2518.3588141431974</v>
      </c>
      <c r="D955" s="1">
        <f t="shared" si="29"/>
        <v>2407.1279247505954</v>
      </c>
      <c r="G955" s="1"/>
      <c r="H955" s="1"/>
    </row>
    <row r="956" spans="2:8" x14ac:dyDescent="0.25">
      <c r="B956">
        <v>1002.1331009114074</v>
      </c>
      <c r="C956" s="43">
        <f t="shared" si="28"/>
        <v>2004.2662018228148</v>
      </c>
      <c r="D956" s="1">
        <f t="shared" si="29"/>
        <v>1507.4658531899258</v>
      </c>
      <c r="G956" s="1"/>
      <c r="H956" s="1"/>
    </row>
    <row r="957" spans="2:8" x14ac:dyDescent="0.25">
      <c r="B957">
        <v>641.14744034787873</v>
      </c>
      <c r="C957" s="43">
        <f t="shared" si="28"/>
        <v>1282.2948806957575</v>
      </c>
      <c r="D957" s="1">
        <f t="shared" si="29"/>
        <v>1500</v>
      </c>
      <c r="G957" s="1"/>
      <c r="H957" s="1"/>
    </row>
    <row r="958" spans="2:8" x14ac:dyDescent="0.25">
      <c r="B958">
        <v>1508.0374062393385</v>
      </c>
      <c r="C958" s="43">
        <f t="shared" si="28"/>
        <v>3016.0748124786769</v>
      </c>
      <c r="D958" s="1">
        <f t="shared" si="29"/>
        <v>3278.1309218376846</v>
      </c>
      <c r="G958" s="1"/>
      <c r="H958" s="1"/>
    </row>
    <row r="959" spans="2:8" x14ac:dyDescent="0.25">
      <c r="B959">
        <v>754.6502372691175</v>
      </c>
      <c r="C959" s="43">
        <f t="shared" si="28"/>
        <v>1509.300474538235</v>
      </c>
      <c r="D959" s="1">
        <f t="shared" si="29"/>
        <v>1500</v>
      </c>
      <c r="G959" s="1"/>
      <c r="H959" s="1"/>
    </row>
    <row r="960" spans="2:8" x14ac:dyDescent="0.25">
      <c r="B960">
        <v>1422.957293044703</v>
      </c>
      <c r="C960" s="43">
        <f t="shared" si="28"/>
        <v>2845.9145860894059</v>
      </c>
      <c r="D960" s="1">
        <f t="shared" si="29"/>
        <v>2980.3505256564604</v>
      </c>
      <c r="G960" s="1"/>
      <c r="H960" s="1"/>
    </row>
    <row r="961" spans="2:8" x14ac:dyDescent="0.25">
      <c r="B961">
        <v>1827.893593855435</v>
      </c>
      <c r="C961" s="43">
        <f t="shared" si="28"/>
        <v>3655.7871877108701</v>
      </c>
      <c r="D961" s="1">
        <f t="shared" si="29"/>
        <v>4397.6275784940226</v>
      </c>
      <c r="G961" s="1"/>
      <c r="H961" s="1"/>
    </row>
    <row r="962" spans="2:8" x14ac:dyDescent="0.25">
      <c r="B962">
        <v>1083.0483741131611</v>
      </c>
      <c r="C962" s="43">
        <f t="shared" si="28"/>
        <v>2166.0967482263222</v>
      </c>
      <c r="D962" s="1">
        <f t="shared" si="29"/>
        <v>1790.6693093960639</v>
      </c>
      <c r="G962" s="1"/>
      <c r="H962" s="1"/>
    </row>
    <row r="963" spans="2:8" x14ac:dyDescent="0.25">
      <c r="B963">
        <v>1199.5552422661713</v>
      </c>
      <c r="C963" s="43">
        <f t="shared" si="28"/>
        <v>2399.1104845323425</v>
      </c>
      <c r="D963" s="1">
        <f t="shared" si="29"/>
        <v>2198.4433479315994</v>
      </c>
      <c r="G963" s="1"/>
      <c r="H963" s="1"/>
    </row>
    <row r="964" spans="2:8" x14ac:dyDescent="0.25">
      <c r="B964">
        <v>641.14744034787873</v>
      </c>
      <c r="C964" s="43">
        <f t="shared" si="28"/>
        <v>1282.2948806957575</v>
      </c>
      <c r="D964" s="1">
        <f t="shared" si="29"/>
        <v>1500</v>
      </c>
      <c r="G964" s="1"/>
      <c r="H964" s="1"/>
    </row>
    <row r="965" spans="2:8" x14ac:dyDescent="0.25">
      <c r="B965">
        <v>1382.1692967042618</v>
      </c>
      <c r="C965" s="43">
        <f t="shared" si="28"/>
        <v>2764.3385934085236</v>
      </c>
      <c r="D965" s="1">
        <f t="shared" si="29"/>
        <v>2837.5925384649163</v>
      </c>
      <c r="G965" s="1"/>
      <c r="H965" s="1"/>
    </row>
    <row r="966" spans="2:8" x14ac:dyDescent="0.25">
      <c r="B966">
        <v>1511.4228069990641</v>
      </c>
      <c r="C966" s="43">
        <f t="shared" si="28"/>
        <v>3022.8456139981281</v>
      </c>
      <c r="D966" s="1">
        <f t="shared" si="29"/>
        <v>3289.9798244967242</v>
      </c>
      <c r="G966" s="1"/>
      <c r="H966" s="1"/>
    </row>
    <row r="967" spans="2:8" x14ac:dyDescent="0.25">
      <c r="B967">
        <v>1245.9855732061551</v>
      </c>
      <c r="C967" s="43">
        <f t="shared" si="28"/>
        <v>2491.9711464123102</v>
      </c>
      <c r="D967" s="1">
        <f t="shared" si="29"/>
        <v>2360.9495062215428</v>
      </c>
      <c r="G967" s="1"/>
      <c r="H967" s="1"/>
    </row>
    <row r="968" spans="2:8" x14ac:dyDescent="0.25">
      <c r="B968">
        <v>1423.185922959703</v>
      </c>
      <c r="C968" s="43">
        <f t="shared" si="28"/>
        <v>2846.371845919406</v>
      </c>
      <c r="D968" s="1">
        <f t="shared" si="29"/>
        <v>2981.1507303589606</v>
      </c>
      <c r="G968" s="1"/>
      <c r="H968" s="1"/>
    </row>
    <row r="969" spans="2:8" x14ac:dyDescent="0.25">
      <c r="B969">
        <v>968.89576482800476</v>
      </c>
      <c r="C969" s="43">
        <f t="shared" si="28"/>
        <v>1937.7915296560095</v>
      </c>
      <c r="D969" s="1">
        <f t="shared" si="29"/>
        <v>1500</v>
      </c>
      <c r="G969" s="1"/>
      <c r="H969" s="1"/>
    </row>
    <row r="970" spans="2:8" x14ac:dyDescent="0.25">
      <c r="B970">
        <v>1287.4116357864405</v>
      </c>
      <c r="C970" s="43">
        <f t="shared" si="28"/>
        <v>2574.8232715728809</v>
      </c>
      <c r="D970" s="1">
        <f t="shared" si="29"/>
        <v>2505.9407252525416</v>
      </c>
      <c r="G970" s="1"/>
      <c r="H970" s="1"/>
    </row>
    <row r="971" spans="2:8" x14ac:dyDescent="0.25">
      <c r="B971">
        <v>452.83190118544735</v>
      </c>
      <c r="C971" s="43">
        <f t="shared" si="28"/>
        <v>905.6638023708947</v>
      </c>
      <c r="D971" s="1">
        <f t="shared" si="29"/>
        <v>1500</v>
      </c>
      <c r="G971" s="1"/>
      <c r="H971" s="1"/>
    </row>
    <row r="972" spans="2:8" x14ac:dyDescent="0.25">
      <c r="B972">
        <v>1122.1059146749321</v>
      </c>
      <c r="C972" s="43">
        <f t="shared" si="28"/>
        <v>2244.2118293498643</v>
      </c>
      <c r="D972" s="1">
        <f t="shared" si="29"/>
        <v>1927.3707013622625</v>
      </c>
      <c r="G972" s="1"/>
      <c r="H972" s="1"/>
    </row>
    <row r="973" spans="2:8" x14ac:dyDescent="0.25">
      <c r="B973">
        <v>1464.391326209181</v>
      </c>
      <c r="C973" s="43">
        <f t="shared" si="28"/>
        <v>2928.782652418362</v>
      </c>
      <c r="D973" s="1">
        <f t="shared" si="29"/>
        <v>3125.3696417321335</v>
      </c>
      <c r="G973" s="1"/>
      <c r="H973" s="1"/>
    </row>
    <row r="974" spans="2:8" x14ac:dyDescent="0.25">
      <c r="B974">
        <v>566.8515275659156</v>
      </c>
      <c r="C974" s="43">
        <f t="shared" si="28"/>
        <v>1133.7030551318312</v>
      </c>
      <c r="D974" s="1">
        <f t="shared" si="29"/>
        <v>1500</v>
      </c>
      <c r="G974" s="1"/>
      <c r="H974" s="1"/>
    </row>
    <row r="975" spans="2:8" x14ac:dyDescent="0.25">
      <c r="B975">
        <v>883.60296288675454</v>
      </c>
      <c r="C975" s="43">
        <f t="shared" si="28"/>
        <v>1767.2059257735091</v>
      </c>
      <c r="D975" s="1">
        <f t="shared" si="29"/>
        <v>1500</v>
      </c>
      <c r="G975" s="1"/>
      <c r="H975" s="1"/>
    </row>
    <row r="976" spans="2:8" x14ac:dyDescent="0.25">
      <c r="B976">
        <v>1132.9207389110816</v>
      </c>
      <c r="C976" s="43">
        <f t="shared" si="28"/>
        <v>2265.8414778221631</v>
      </c>
      <c r="D976" s="1">
        <f t="shared" si="29"/>
        <v>1965.2225861887855</v>
      </c>
      <c r="G976" s="1"/>
      <c r="H976" s="1"/>
    </row>
    <row r="977" spans="2:8" x14ac:dyDescent="0.25">
      <c r="B977">
        <v>501.36688585672528</v>
      </c>
      <c r="C977" s="43">
        <f t="shared" si="28"/>
        <v>1002.7337717134506</v>
      </c>
      <c r="D977" s="1">
        <f t="shared" si="29"/>
        <v>1500</v>
      </c>
      <c r="G977" s="1"/>
      <c r="H977" s="1"/>
    </row>
    <row r="978" spans="2:8" x14ac:dyDescent="0.25">
      <c r="B978">
        <v>1590.6311166702944</v>
      </c>
      <c r="C978" s="43">
        <f t="shared" ref="C978:C1016" si="30">B978*2</f>
        <v>3181.2622333405889</v>
      </c>
      <c r="D978" s="1">
        <f t="shared" ref="D978:D1016" si="31">IF(B978&lt;=1000,1500,1500+(B978-1000)*3.5)</f>
        <v>3567.2089083460305</v>
      </c>
      <c r="G978" s="1"/>
      <c r="H978" s="1"/>
    </row>
    <row r="979" spans="2:8" x14ac:dyDescent="0.25">
      <c r="B979">
        <v>895.93387613723462</v>
      </c>
      <c r="C979" s="43">
        <f t="shared" si="30"/>
        <v>1791.8677522744692</v>
      </c>
      <c r="D979" s="1">
        <f t="shared" si="31"/>
        <v>1500</v>
      </c>
      <c r="G979" s="1"/>
      <c r="H979" s="1"/>
    </row>
    <row r="980" spans="2:8" x14ac:dyDescent="0.25">
      <c r="B980">
        <v>1444.4875189668091</v>
      </c>
      <c r="C980" s="43">
        <f t="shared" si="30"/>
        <v>2888.9750379336183</v>
      </c>
      <c r="D980" s="1">
        <f t="shared" si="31"/>
        <v>3055.706316383832</v>
      </c>
      <c r="G980" s="1"/>
      <c r="H980" s="1"/>
    </row>
    <row r="981" spans="2:8" x14ac:dyDescent="0.25">
      <c r="B981">
        <v>1273.4375236789783</v>
      </c>
      <c r="C981" s="43">
        <f t="shared" si="30"/>
        <v>2546.8750473579566</v>
      </c>
      <c r="D981" s="1">
        <f t="shared" si="31"/>
        <v>2457.0313328764241</v>
      </c>
      <c r="G981" s="1"/>
      <c r="H981" s="1"/>
    </row>
    <row r="982" spans="2:8" x14ac:dyDescent="0.25">
      <c r="B982">
        <v>455.80199255829211</v>
      </c>
      <c r="C982" s="43">
        <f t="shared" si="30"/>
        <v>911.60398511658423</v>
      </c>
      <c r="D982" s="1">
        <f t="shared" si="31"/>
        <v>1500</v>
      </c>
      <c r="G982" s="1"/>
      <c r="H982" s="1"/>
    </row>
    <row r="983" spans="2:8" x14ac:dyDescent="0.25">
      <c r="B983">
        <v>1209.2571212463663</v>
      </c>
      <c r="C983" s="43">
        <f t="shared" si="30"/>
        <v>2418.5142424927326</v>
      </c>
      <c r="D983" s="1">
        <f t="shared" si="31"/>
        <v>2232.399924362282</v>
      </c>
      <c r="G983" s="1"/>
      <c r="H983" s="1"/>
    </row>
    <row r="984" spans="2:8" x14ac:dyDescent="0.25">
      <c r="B984">
        <v>1491.2916283549857</v>
      </c>
      <c r="C984" s="43">
        <f t="shared" si="30"/>
        <v>2982.5832567099715</v>
      </c>
      <c r="D984" s="1">
        <f t="shared" si="31"/>
        <v>3219.5206992424501</v>
      </c>
      <c r="G984" s="1"/>
      <c r="H984" s="1"/>
    </row>
    <row r="985" spans="2:8" x14ac:dyDescent="0.25">
      <c r="B985">
        <v>1511.1392220035777</v>
      </c>
      <c r="C985" s="43">
        <f t="shared" si="30"/>
        <v>3022.2784440071555</v>
      </c>
      <c r="D985" s="1">
        <f t="shared" si="31"/>
        <v>3288.9872770125221</v>
      </c>
      <c r="G985" s="1"/>
      <c r="H985" s="1"/>
    </row>
    <row r="986" spans="2:8" x14ac:dyDescent="0.25">
      <c r="B986">
        <v>1281.3275630208518</v>
      </c>
      <c r="C986" s="43">
        <f t="shared" si="30"/>
        <v>2562.6551260417036</v>
      </c>
      <c r="D986" s="1">
        <f t="shared" si="31"/>
        <v>2484.6464705729813</v>
      </c>
      <c r="G986" s="1"/>
      <c r="H986" s="1"/>
    </row>
    <row r="987" spans="2:8" x14ac:dyDescent="0.25">
      <c r="B987">
        <v>1304.0714152623987</v>
      </c>
      <c r="C987" s="43">
        <f t="shared" si="30"/>
        <v>2608.1428305247973</v>
      </c>
      <c r="D987" s="1">
        <f t="shared" si="31"/>
        <v>2564.2499534183953</v>
      </c>
      <c r="G987" s="1"/>
      <c r="H987" s="1"/>
    </row>
    <row r="988" spans="2:8" x14ac:dyDescent="0.25">
      <c r="B988">
        <v>1467.6676558167965</v>
      </c>
      <c r="C988" s="43">
        <f t="shared" si="30"/>
        <v>2935.3353116335929</v>
      </c>
      <c r="D988" s="1">
        <f t="shared" si="31"/>
        <v>3136.8367953587876</v>
      </c>
      <c r="G988" s="1"/>
      <c r="H988" s="1"/>
    </row>
    <row r="989" spans="2:8" x14ac:dyDescent="0.25">
      <c r="B989">
        <v>1272.6517918793543</v>
      </c>
      <c r="C989" s="43">
        <f t="shared" si="30"/>
        <v>2545.3035837587086</v>
      </c>
      <c r="D989" s="1">
        <f t="shared" si="31"/>
        <v>2454.28127157774</v>
      </c>
      <c r="G989" s="1"/>
      <c r="H989" s="1"/>
    </row>
    <row r="990" spans="2:8" x14ac:dyDescent="0.25">
      <c r="B990">
        <v>935.38113631558372</v>
      </c>
      <c r="C990" s="43">
        <f t="shared" si="30"/>
        <v>1870.7622726311674</v>
      </c>
      <c r="D990" s="1">
        <f t="shared" si="31"/>
        <v>1500</v>
      </c>
      <c r="G990" s="1"/>
      <c r="H990" s="1"/>
    </row>
    <row r="991" spans="2:8" x14ac:dyDescent="0.25">
      <c r="B991">
        <v>1440.6691896340926</v>
      </c>
      <c r="C991" s="43">
        <f t="shared" si="30"/>
        <v>2881.3383792681852</v>
      </c>
      <c r="D991" s="1">
        <f t="shared" si="31"/>
        <v>3042.3421637193242</v>
      </c>
      <c r="G991" s="1"/>
      <c r="H991" s="1"/>
    </row>
    <row r="992" spans="2:8" x14ac:dyDescent="0.25">
      <c r="B992">
        <v>1571.9262530922715</v>
      </c>
      <c r="C992" s="43">
        <f t="shared" si="30"/>
        <v>3143.852506184543</v>
      </c>
      <c r="D992" s="1">
        <f t="shared" si="31"/>
        <v>3501.7418858229503</v>
      </c>
      <c r="G992" s="1"/>
      <c r="H992" s="1"/>
    </row>
    <row r="993" spans="2:8" x14ac:dyDescent="0.25">
      <c r="B993">
        <v>1156.5568770777754</v>
      </c>
      <c r="C993" s="43">
        <f t="shared" si="30"/>
        <v>2313.1137541555509</v>
      </c>
      <c r="D993" s="1">
        <f t="shared" si="31"/>
        <v>2047.949069772214</v>
      </c>
      <c r="G993" s="1"/>
      <c r="H993" s="1"/>
    </row>
    <row r="994" spans="2:8" x14ac:dyDescent="0.25">
      <c r="B994">
        <v>1017.5012262437231</v>
      </c>
      <c r="C994" s="43">
        <f t="shared" si="30"/>
        <v>2035.0024524874461</v>
      </c>
      <c r="D994" s="1">
        <f t="shared" si="31"/>
        <v>1561.2542918530307</v>
      </c>
      <c r="G994" s="1"/>
      <c r="H994" s="1"/>
    </row>
    <row r="995" spans="2:8" x14ac:dyDescent="0.25">
      <c r="B995">
        <v>1224.022418711058</v>
      </c>
      <c r="C995" s="43">
        <f t="shared" si="30"/>
        <v>2448.044837422116</v>
      </c>
      <c r="D995" s="1">
        <f t="shared" si="31"/>
        <v>2284.0784654887029</v>
      </c>
      <c r="G995" s="1"/>
      <c r="H995" s="1"/>
    </row>
    <row r="996" spans="2:8" x14ac:dyDescent="0.25">
      <c r="B996">
        <v>1473.8721263541374</v>
      </c>
      <c r="C996" s="43">
        <f t="shared" si="30"/>
        <v>2947.7442527082749</v>
      </c>
      <c r="D996" s="1">
        <f t="shared" si="31"/>
        <v>3158.552442239481</v>
      </c>
      <c r="G996" s="1"/>
      <c r="H996" s="1"/>
    </row>
    <row r="997" spans="2:8" x14ac:dyDescent="0.25">
      <c r="B997">
        <v>982.49987402715487</v>
      </c>
      <c r="C997" s="43">
        <f t="shared" si="30"/>
        <v>1964.9997480543097</v>
      </c>
      <c r="D997" s="1">
        <f t="shared" si="31"/>
        <v>1500</v>
      </c>
      <c r="G997" s="1"/>
      <c r="H997" s="1"/>
    </row>
    <row r="998" spans="2:8" x14ac:dyDescent="0.25">
      <c r="B998">
        <v>705.95080686081201</v>
      </c>
      <c r="C998" s="43">
        <f t="shared" si="30"/>
        <v>1411.901613721624</v>
      </c>
      <c r="D998" s="1">
        <f t="shared" si="31"/>
        <v>1500</v>
      </c>
      <c r="G998" s="1"/>
      <c r="H998" s="1"/>
    </row>
    <row r="999" spans="2:8" x14ac:dyDescent="0.25">
      <c r="B999">
        <v>1105.9835203753319</v>
      </c>
      <c r="C999" s="43">
        <f t="shared" si="30"/>
        <v>2211.9670407506637</v>
      </c>
      <c r="D999" s="1">
        <f t="shared" si="31"/>
        <v>1870.9423213136615</v>
      </c>
      <c r="G999" s="1"/>
      <c r="H999" s="1"/>
    </row>
    <row r="1000" spans="2:8" x14ac:dyDescent="0.25">
      <c r="B1000">
        <v>1336.524697563902</v>
      </c>
      <c r="C1000" s="43">
        <f t="shared" si="30"/>
        <v>2673.049395127804</v>
      </c>
      <c r="D1000" s="1">
        <f t="shared" si="31"/>
        <v>2677.836441473657</v>
      </c>
      <c r="G1000" s="1"/>
      <c r="H1000" s="1"/>
    </row>
    <row r="1001" spans="2:8" x14ac:dyDescent="0.25">
      <c r="B1001">
        <v>1207.8475863575586</v>
      </c>
      <c r="C1001" s="43">
        <f t="shared" si="30"/>
        <v>2415.6951727151172</v>
      </c>
      <c r="D1001" s="1">
        <f t="shared" si="31"/>
        <v>2227.4665522514551</v>
      </c>
      <c r="G1001" s="1"/>
      <c r="H1001" s="1"/>
    </row>
    <row r="1002" spans="2:8" x14ac:dyDescent="0.25">
      <c r="B1002">
        <v>1105.6999353798456</v>
      </c>
      <c r="C1002" s="43">
        <f t="shared" si="30"/>
        <v>2211.3998707596911</v>
      </c>
      <c r="D1002" s="1">
        <f t="shared" si="31"/>
        <v>1869.9497738294594</v>
      </c>
      <c r="G1002" s="1"/>
      <c r="H1002" s="1"/>
    </row>
    <row r="1003" spans="2:8" x14ac:dyDescent="0.25">
      <c r="B1003">
        <v>2121.4997111940756</v>
      </c>
      <c r="C1003" s="43">
        <f t="shared" si="30"/>
        <v>4242.9994223881513</v>
      </c>
      <c r="D1003" s="1">
        <f t="shared" si="31"/>
        <v>5425.2489891792648</v>
      </c>
      <c r="G1003" s="1"/>
      <c r="H1003" s="1"/>
    </row>
    <row r="1004" spans="2:8" x14ac:dyDescent="0.25">
      <c r="B1004">
        <v>815.92137647140771</v>
      </c>
      <c r="C1004" s="43">
        <f t="shared" si="30"/>
        <v>1631.8427529428154</v>
      </c>
      <c r="D1004" s="1">
        <f t="shared" si="31"/>
        <v>1500</v>
      </c>
      <c r="G1004" s="1"/>
      <c r="H1004" s="1"/>
    </row>
    <row r="1005" spans="2:8" x14ac:dyDescent="0.25">
      <c r="B1005">
        <v>1219.0382865640568</v>
      </c>
      <c r="C1005" s="43">
        <f t="shared" si="30"/>
        <v>2438.0765731281135</v>
      </c>
      <c r="D1005" s="1">
        <f t="shared" si="31"/>
        <v>2266.6340029741987</v>
      </c>
    </row>
    <row r="1006" spans="2:8" x14ac:dyDescent="0.25">
      <c r="B1006">
        <v>1669.1061325957999</v>
      </c>
      <c r="C1006" s="43">
        <f t="shared" si="30"/>
        <v>3338.2122651915997</v>
      </c>
      <c r="D1006" s="1">
        <f t="shared" si="31"/>
        <v>3841.8714640852995</v>
      </c>
    </row>
    <row r="1007" spans="2:8" x14ac:dyDescent="0.25">
      <c r="B1007">
        <v>1053.2539108965575</v>
      </c>
      <c r="C1007" s="43">
        <f t="shared" si="30"/>
        <v>2106.507821793115</v>
      </c>
      <c r="D1007" s="1">
        <f t="shared" si="31"/>
        <v>1686.3886881379512</v>
      </c>
    </row>
    <row r="1008" spans="2:8" x14ac:dyDescent="0.25">
      <c r="B1008">
        <v>1384.9573231539689</v>
      </c>
      <c r="C1008" s="43">
        <f t="shared" si="30"/>
        <v>2769.9146463079378</v>
      </c>
      <c r="D1008" s="1">
        <f t="shared" si="31"/>
        <v>2847.3506310388912</v>
      </c>
    </row>
    <row r="1009" spans="2:4" x14ac:dyDescent="0.25">
      <c r="B1009">
        <v>2172.6725397286937</v>
      </c>
      <c r="C1009" s="43">
        <f t="shared" si="30"/>
        <v>4345.3450794573873</v>
      </c>
      <c r="D1009" s="1">
        <f t="shared" si="31"/>
        <v>5604.3538890504278</v>
      </c>
    </row>
    <row r="1010" spans="2:4" x14ac:dyDescent="0.25">
      <c r="B1010">
        <v>371.72323644091375</v>
      </c>
      <c r="C1010" s="43">
        <f t="shared" si="30"/>
        <v>743.4464728818275</v>
      </c>
      <c r="D1010" s="1">
        <f t="shared" si="31"/>
        <v>1500</v>
      </c>
    </row>
    <row r="1011" spans="2:4" x14ac:dyDescent="0.25">
      <c r="B1011">
        <v>1108.1355781073507</v>
      </c>
      <c r="C1011" s="43">
        <f t="shared" si="30"/>
        <v>2216.2711562147015</v>
      </c>
      <c r="D1011" s="1">
        <f t="shared" si="31"/>
        <v>1878.4745233757276</v>
      </c>
    </row>
    <row r="1012" spans="2:4" x14ac:dyDescent="0.25">
      <c r="B1012">
        <v>1263.5116293325264</v>
      </c>
      <c r="C1012" s="43">
        <f t="shared" si="30"/>
        <v>2527.0232586650527</v>
      </c>
      <c r="D1012" s="1">
        <f t="shared" si="31"/>
        <v>2422.2907026638422</v>
      </c>
    </row>
    <row r="1013" spans="2:4" x14ac:dyDescent="0.25">
      <c r="B1013">
        <v>1655.5745976632461</v>
      </c>
      <c r="C1013" s="43">
        <f t="shared" si="30"/>
        <v>3311.1491953264922</v>
      </c>
      <c r="D1013" s="1">
        <f t="shared" si="31"/>
        <v>3794.5110918213613</v>
      </c>
    </row>
    <row r="1014" spans="2:4" x14ac:dyDescent="0.25">
      <c r="B1014">
        <v>876.11774532098207</v>
      </c>
      <c r="C1014" s="43">
        <f t="shared" si="30"/>
        <v>1752.2354906419641</v>
      </c>
      <c r="D1014" s="1">
        <f t="shared" si="31"/>
        <v>1500</v>
      </c>
    </row>
    <row r="1015" spans="2:4" x14ac:dyDescent="0.25">
      <c r="B1015">
        <v>1309.0597424537118</v>
      </c>
      <c r="C1015" s="43">
        <f t="shared" si="30"/>
        <v>2618.1194849074236</v>
      </c>
      <c r="D1015" s="1">
        <f t="shared" si="31"/>
        <v>2581.7090985879913</v>
      </c>
    </row>
    <row r="1016" spans="2:4" x14ac:dyDescent="0.25">
      <c r="B1016">
        <v>1552.3572103859915</v>
      </c>
      <c r="C1016" s="43">
        <f t="shared" si="30"/>
        <v>3104.714420771983</v>
      </c>
      <c r="D1016" s="1">
        <f t="shared" si="31"/>
        <v>3433.2502363509702</v>
      </c>
    </row>
  </sheetData>
  <mergeCells count="2">
    <mergeCell ref="A2:G4"/>
    <mergeCell ref="B6:C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Decision Problem</vt:lpstr>
      <vt:lpstr>Problem</vt:lpstr>
      <vt:lpstr>Solved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kureshi sakil</cp:lastModifiedBy>
  <dcterms:created xsi:type="dcterms:W3CDTF">2020-03-21T04:50:01Z</dcterms:created>
  <dcterms:modified xsi:type="dcterms:W3CDTF">2026-07-14T05:33:08Z</dcterms:modified>
</cp:coreProperties>
</file>