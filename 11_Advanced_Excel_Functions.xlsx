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M\Certified Data Analyst\04_ADA with Excel\DRIVE UPLOAD\"/>
    </mc:Choice>
  </mc:AlternateContent>
  <xr:revisionPtr revIDLastSave="0" documentId="13_ncr:1_{6AF6E108-B1A4-4750-9A64-DDE4FEAA27AD}" xr6:coauthVersionLast="47" xr6:coauthVersionMax="47" xr10:uidLastSave="{00000000-0000-0000-0000-000000000000}"/>
  <bookViews>
    <workbookView xWindow="-100" yWindow="-100" windowWidth="21467" windowHeight="11576" tabRatio="866" activeTab="6" xr2:uid="{00000000-000D-0000-FFFF-FFFF00000000}"/>
  </bookViews>
  <sheets>
    <sheet name="V_Data" sheetId="1" r:id="rId1"/>
    <sheet name="VLookup" sheetId="9" r:id="rId2"/>
    <sheet name="H_Data" sheetId="4" r:id="rId3"/>
    <sheet name="HLookup" sheetId="6" r:id="rId4"/>
    <sheet name="XLookup" sheetId="8" r:id="rId5"/>
    <sheet name="Index Match" sheetId="7" r:id="rId6"/>
    <sheet name="Functions" sheetId="10" r:id="rId7"/>
    <sheet name="Task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0" l="1"/>
  <c r="F16" i="10" a="1"/>
  <c r="F16" i="10" s="1"/>
  <c r="D13" i="10"/>
  <c r="D12" i="10"/>
  <c r="G13" i="7"/>
  <c r="E13" i="7"/>
  <c r="D13" i="7"/>
  <c r="C2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3" i="9"/>
  <c r="B4" i="9"/>
  <c r="B5" i="9"/>
  <c r="B6" i="9"/>
  <c r="B7" i="9"/>
  <c r="B8" i="9"/>
  <c r="B9" i="9"/>
  <c r="B10" i="9"/>
  <c r="B11" i="9"/>
  <c r="B12" i="9"/>
  <c r="B2" i="9"/>
  <c r="J2" i="6"/>
  <c r="C2" i="6"/>
  <c r="B2" i="6"/>
  <c r="C15" i="10"/>
  <c r="C14" i="10"/>
  <c r="C13" i="10"/>
  <c r="C12" i="10"/>
  <c r="C2" i="9"/>
  <c r="I12" i="1"/>
  <c r="I9" i="1"/>
  <c r="J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<sst xmlns="http://schemas.openxmlformats.org/spreadsheetml/2006/main" count="327" uniqueCount="123">
  <si>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</si>
  <si>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</si>
  <si>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</si>
  <si>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</si>
  <si>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</si>
  <si>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</si>
  <si>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</si>
  <si>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</si>
  <si>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</si>
  <si>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</si>
  <si>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</si>
  <si>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</si>
  <si>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</si>
  <si>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</si>
  <si>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</si>
  <si>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</si>
  <si>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</si>
  <si>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</si>
  <si>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</si>
  <si>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</si>
  <si>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</si>
  <si>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</si>
  <si>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</si>
  <si>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</si>
  <si>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</si>
  <si>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</si>
  <si>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</si>
  <si>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</si>
  <si>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</si>
  <si>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</si>
  <si>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</si>
  <si>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</si>
  <si>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</si>
  <si>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</si>
  <si>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</si>
  <si>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</si>
  <si>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</si>
  <si>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</si>
  <si>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</si>
  <si>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</si>
  <si>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</si>
  <si>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</si>
  <si>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</si>
  <si>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</si>
  <si>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</si>
  <si>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</si>
  <si>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</si>
  <si>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</si>
  <si>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</si>
  <si>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</si>
  <si>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</si>
  <si>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1015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</si>
  <si>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Grace Johnson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</si>
  <si>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</si>
  <si>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Jack Walker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</si>
  <si>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who has employee ID </t>
    </r>
    <r>
      <rPr>
        <b/>
        <sz val="11"/>
        <color theme="1"/>
        <rFont val="Calibri"/>
        <family val="2"/>
        <scheme val="minor"/>
      </rPr>
      <t>1028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</si>
  <si>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Olivia Wright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</si>
  <si>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 with employee ID </t>
    </r>
    <r>
      <rPr>
        <b/>
        <sz val="11"/>
        <color theme="1"/>
        <rFont val="Calibri"/>
        <family val="2"/>
        <scheme val="minor"/>
      </rPr>
      <t>1039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</si>
  <si>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Benjamin Thompson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</si>
  <si>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Zachary Hill</t>
    </r>
    <r>
      <rPr>
        <sz val="11"/>
        <color theme="1"/>
        <rFont val="Calibri"/>
        <family val="2"/>
        <scheme val="minor"/>
      </rPr>
      <t>?</t>
    </r>
  </si>
  <si>
    <t>Salary of Emp ID 1017</t>
  </si>
  <si>
    <t>ID</t>
  </si>
  <si>
    <t>Row index</t>
  </si>
  <si>
    <t>Match</t>
  </si>
  <si>
    <t>Index</t>
  </si>
  <si>
    <t>Emp ID</t>
  </si>
  <si>
    <t>Performance score</t>
  </si>
  <si>
    <t>Benjamin Thomson</t>
  </si>
  <si>
    <t>What is the Department of employee ID 1007?</t>
  </si>
  <si>
    <t>What is the Salary of employee Daniel Martinez?</t>
  </si>
  <si>
    <t>What is the Joining Date of employee ID 1031?</t>
  </si>
  <si>
    <t>Region</t>
  </si>
  <si>
    <t>John</t>
  </si>
  <si>
    <t>North</t>
  </si>
  <si>
    <t>Alice</t>
  </si>
  <si>
    <t>South</t>
  </si>
  <si>
    <t>Find how much sales done by Marketing department?</t>
  </si>
  <si>
    <t>Bob</t>
  </si>
  <si>
    <t>East</t>
  </si>
  <si>
    <t>Find the sales where the department is "Sales" and the region is "East"?</t>
  </si>
  <si>
    <t>Emma</t>
  </si>
  <si>
    <t>West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</si>
  <si>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</si>
  <si>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</si>
  <si>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</si>
  <si>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</si>
  <si>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</si>
  <si>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</si>
  <si>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Sophie</t>
  </si>
  <si>
    <t>sumif</t>
  </si>
  <si>
    <t>sumifs</t>
  </si>
  <si>
    <t>countif</t>
  </si>
  <si>
    <t>countifs</t>
  </si>
  <si>
    <t>Product</t>
  </si>
  <si>
    <t>Category</t>
  </si>
  <si>
    <t>Price</t>
  </si>
  <si>
    <t>Quantity Sold</t>
  </si>
  <si>
    <t>Laptop</t>
  </si>
  <si>
    <t>Electronics</t>
  </si>
  <si>
    <t>Smartphone</t>
  </si>
  <si>
    <t>Find the sum of prices of all products in the "Electronics" category?</t>
  </si>
  <si>
    <t>Tablet</t>
  </si>
  <si>
    <t>Find the sum of prices from "Electronics" products in the "South" region.</t>
  </si>
  <si>
    <t>Headphones</t>
  </si>
  <si>
    <t>Accessories</t>
  </si>
  <si>
    <t>Find the count of how many products are in the "Accessories" category.</t>
  </si>
  <si>
    <t>Keyboard</t>
  </si>
  <si>
    <t>Find the count of  how many "Electronics" products were sold in the "North" region?</t>
  </si>
  <si>
    <t>Monitor</t>
  </si>
  <si>
    <t>Mouse</t>
  </si>
  <si>
    <t>Printer</t>
  </si>
  <si>
    <t>unique</t>
  </si>
  <si>
    <t>Count the number of products</t>
  </si>
  <si>
    <t xml:space="preserve">  </t>
  </si>
  <si>
    <t>=VLOOKUP(lookup_value, table_array, col_index_num, [range_lookup])</t>
  </si>
  <si>
    <t>HLOOKUP(lookup_value, table_array, row_index_num, [range_lookup])</t>
  </si>
  <si>
    <t>Sneha</t>
  </si>
  <si>
    <t>jafar</t>
  </si>
  <si>
    <t>uday</t>
  </si>
  <si>
    <t>akshay</t>
  </si>
  <si>
    <t>match</t>
  </si>
  <si>
    <t>index</t>
  </si>
  <si>
    <t>counta(unique())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</si>
</sst>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Roboto"/>
    </font>
    <font>
      <sz val="8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64" fontId="0" fillId="0" borderId="0" xfId="0" applyNumberFormat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0</xdr:row>
      <xdr:rowOff>82550</xdr:rowOff>
    </xdr:from>
    <xdr:to>
      <xdr:col>5</xdr:col>
      <xdr:colOff>499402</xdr:colOff>
      <xdr:row>7</xdr:row>
      <xdr:rowOff>161778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5AD52-06E3-AD7F-AD00-5A6B3059AE6C}"/>
            </a:ext>
          </a:extLst>
        </xdr:cNvPr>
        <xdr:cNvSpPr txBox="1"/>
      </xdr:nvSpPr>
      <xdr:spPr>
        <a:xfrm>
          <a:off x="380999" y="82550"/>
          <a:ext cx="9079523" cy="1359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Excel, INDEX and MATCH are powerful functions that work together to look up values in a table or range. It us alternative to VLOOKUP or HLOOKUP.</a:t>
          </a:r>
        </a:p>
        <a:p>
          <a:endParaRPr lang="en-US"/>
        </a:p>
        <a:p>
          <a:r>
            <a:rPr lang="en-US"/>
            <a:t>INDEX returns the value of a cell at a specified row and column in a range. </a:t>
          </a:r>
        </a:p>
        <a:p>
          <a:r>
            <a:rPr lang="en-US"/>
            <a:t>array: The range of cells you want to search.</a:t>
          </a:r>
        </a:p>
        <a:p>
          <a:r>
            <a:rPr lang="en-US"/>
            <a:t>row_num: The row number within the array.</a:t>
          </a:r>
        </a:p>
        <a:p>
          <a:r>
            <a:rPr lang="en-US"/>
            <a:t>column_num </a:t>
          </a:r>
          <a:r>
            <a:rPr lang="en-US" i="1"/>
            <a:t>(optional)</a:t>
          </a:r>
          <a:r>
            <a:rPr lang="en-US"/>
            <a:t>: The column number within the array.</a:t>
          </a:r>
        </a:p>
        <a:p>
          <a:endParaRPr lang="en-US" sz="1100"/>
        </a:p>
        <a:p>
          <a:r>
            <a:rPr lang="en-US"/>
            <a:t>MATCH returns the position of a value in a single row or column.</a:t>
          </a:r>
        </a:p>
        <a:p>
          <a:r>
            <a:rPr lang="en-US"/>
            <a:t>lookup_value: The value you want to find.</a:t>
          </a:r>
        </a:p>
        <a:p>
          <a:r>
            <a:rPr lang="en-US"/>
            <a:t>lookup_array: The range of cells to search.</a:t>
          </a:r>
        </a:p>
        <a:p>
          <a:r>
            <a:rPr lang="en-US"/>
            <a:t>match_type: 0 for an exact match, 1 for the closest smaller value, -1 for the closest larger value.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3E42-DDD9-49AE-A55C-41E364BA3A56}" name="Table1" displayName="Table1" ref="A1:D9" totalsRowShown="0" headerRowDxfId="12" dataDxfId="11">
  <autoFilter ref="A1:D9" xr:uid="{C0EB3E42-DDD9-49AE-A55C-41E364BA3A56}"/>
  <tableColumns count="4">
    <tableColumn id="1" xr3:uid="{FE1F0848-B9A8-41E8-A7CC-C607AA793D7D}" name="Name" dataDxfId="10"/>
    <tableColumn id="2" xr3:uid="{97A1580F-EB57-43B9-BB4B-DF68CF53191E}" name="Department" dataDxfId="9"/>
    <tableColumn id="3" xr3:uid="{56C47AC5-4570-4F2F-B743-F530DA3EB4A3}" name="Sales" dataDxfId="8"/>
    <tableColumn id="4" xr3:uid="{532FF523-CB82-4AC0-88B1-202C64F8A301}" name="Region" dataDxfId="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234F9-63F2-400D-A43E-269C4B755653}" name="Table2" displayName="Table2" ref="A1:E9" totalsRowShown="0" headerRowDxfId="6" dataDxfId="5">
  <autoFilter ref="A1:E9" xr:uid="{F40234F9-63F2-400D-A43E-269C4B755653}"/>
  <tableColumns count="5">
    <tableColumn id="1" xr3:uid="{A4846EC0-6FB3-4369-B8BB-88555F43E4CE}" name="Product" dataDxfId="4"/>
    <tableColumn id="2" xr3:uid="{D5A01E40-6A84-4E14-B493-922789CBAC06}" name="Category" dataDxfId="3"/>
    <tableColumn id="3" xr3:uid="{30F0747C-7FB4-41C0-9707-555AD0CBB2C5}" name="Price" dataDxfId="2"/>
    <tableColumn id="4" xr3:uid="{320D782E-BFFF-48D0-8F34-1AF0D1E0D4FB}" name="Quantity Sold" dataDxfId="1"/>
    <tableColumn id="5" xr3:uid="{AD3822C3-94FF-4EE3-A6CC-9CD3CECE663D}" name="Reg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zoomScale="115" zoomScaleNormal="115" workbookViewId="0">
      <selection activeCell="A16" sqref="A16:XFD16"/>
    </sheetView>
  </sheetViews>
  <sheetFormatPr defaultRowHeight="14.4" x14ac:dyDescent="0.3"/>
  <cols>
    <col min="1" max="1" width="11.296875" bestFit="1" customWidth="1"/>
    <col min="2" max="2" width="12" bestFit="1" customWidth="1"/>
    <col min="3" max="3" width="29" customWidth="1"/>
    <col min="5" max="5" width="22.69921875" customWidth="1"/>
    <col min="6" max="6" width="16.699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H2">
        <v>1</v>
      </c>
      <c r="I2" t="s">
        <v>60</v>
      </c>
    </row>
    <row r="3" spans="1:10" x14ac:dyDescent="0.3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</row>
    <row r="4" spans="1:10" x14ac:dyDescent="0.3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I4" t="s">
        <v>61</v>
      </c>
      <c r="J4">
        <v>1017</v>
      </c>
    </row>
    <row r="5" spans="1:10" x14ac:dyDescent="0.3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  <c r="H5" t="s">
        <v>63</v>
      </c>
      <c r="I5" t="s">
        <v>62</v>
      </c>
      <c r="J5">
        <f>MATCH(J4,A2:A41,0)</f>
        <v>17</v>
      </c>
    </row>
    <row r="6" spans="1:10" x14ac:dyDescent="0.3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</row>
    <row r="7" spans="1:10" x14ac:dyDescent="0.3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</row>
    <row r="8" spans="1:10" x14ac:dyDescent="0.3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</row>
    <row r="9" spans="1:10" x14ac:dyDescent="0.3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  <c r="H9" t="s">
        <v>64</v>
      </c>
      <c r="I9">
        <f>INDEX(D2:D41,17)</f>
        <v>66531</v>
      </c>
    </row>
    <row r="10" spans="1:10" x14ac:dyDescent="0.3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0" x14ac:dyDescent="0.3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</row>
    <row r="12" spans="1:10" x14ac:dyDescent="0.3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>
        <f>INDEX(D2:D41,MATCH(J4,A2:A41,0))</f>
        <v>66531</v>
      </c>
    </row>
    <row r="13" spans="1:10" x14ac:dyDescent="0.3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</row>
    <row r="14" spans="1:10" x14ac:dyDescent="0.3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</row>
    <row r="15" spans="1:10" x14ac:dyDescent="0.3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</row>
    <row r="16" spans="1:10" x14ac:dyDescent="0.3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</row>
    <row r="17" spans="1:6" x14ac:dyDescent="0.3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</row>
    <row r="18" spans="1:6" x14ac:dyDescent="0.3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</row>
    <row r="19" spans="1:6" x14ac:dyDescent="0.3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</row>
    <row r="20" spans="1:6" x14ac:dyDescent="0.3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6" x14ac:dyDescent="0.3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6" x14ac:dyDescent="0.3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</row>
    <row r="23" spans="1:6" x14ac:dyDescent="0.3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</row>
    <row r="24" spans="1:6" x14ac:dyDescent="0.3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6" x14ac:dyDescent="0.3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6" x14ac:dyDescent="0.3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6" x14ac:dyDescent="0.3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6" x14ac:dyDescent="0.3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6" x14ac:dyDescent="0.3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6" x14ac:dyDescent="0.3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6" x14ac:dyDescent="0.3">
      <c r="A31" s="2">
        <v>1030</v>
      </c>
      <c r="B31" s="2" t="s">
        <v>40</v>
      </c>
      <c r="C31" s="2" t="s">
        <v>6</v>
      </c>
      <c r="D31" s="2">
        <v>45675</v>
      </c>
      <c r="E31" s="3">
        <v>42916</v>
      </c>
      <c r="F31" s="2">
        <v>7</v>
      </c>
    </row>
    <row r="32" spans="1:6" x14ac:dyDescent="0.3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3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3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3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3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3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3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3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3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3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M12"/>
  <sheetViews>
    <sheetView workbookViewId="0">
      <selection activeCell="B1" sqref="B1:B1048576"/>
    </sheetView>
  </sheetViews>
  <sheetFormatPr defaultRowHeight="14.4" x14ac:dyDescent="0.3"/>
  <cols>
    <col min="2" max="2" width="17.09765625" customWidth="1"/>
  </cols>
  <sheetData>
    <row r="1" spans="1:13" x14ac:dyDescent="0.3">
      <c r="A1" t="s">
        <v>65</v>
      </c>
      <c r="B1" t="s">
        <v>3</v>
      </c>
      <c r="C1" t="s">
        <v>5</v>
      </c>
    </row>
    <row r="2" spans="1:13" x14ac:dyDescent="0.3">
      <c r="A2" s="2">
        <v>1030</v>
      </c>
      <c r="B2">
        <f>VLOOKUP(A2,V_Data!$A$1:$F$41,4,0)</f>
        <v>45675</v>
      </c>
      <c r="C2">
        <f>VLOOKUP($A2,V_Data!$A$1:$F$41,6,0)</f>
        <v>7</v>
      </c>
      <c r="M2" t="s">
        <v>114</v>
      </c>
    </row>
    <row r="3" spans="1:13" x14ac:dyDescent="0.3">
      <c r="A3" s="2">
        <v>1000</v>
      </c>
      <c r="B3" t="e">
        <f>VLOOKUP(A3,V_Data!$A$1:$F$41,4,0)</f>
        <v>#N/A</v>
      </c>
    </row>
    <row r="4" spans="1:13" x14ac:dyDescent="0.3">
      <c r="A4" s="2">
        <v>1015</v>
      </c>
      <c r="B4">
        <f>VLOOKUP(A4,V_Data!$A$1:$F$41,4,0)</f>
        <v>54541</v>
      </c>
    </row>
    <row r="5" spans="1:13" x14ac:dyDescent="0.3">
      <c r="A5">
        <v>1040</v>
      </c>
      <c r="B5">
        <f>VLOOKUP(A5,V_Data!$A$1:$F$41,4,0)</f>
        <v>41016</v>
      </c>
    </row>
    <row r="6" spans="1:13" x14ac:dyDescent="0.3">
      <c r="A6">
        <v>1006</v>
      </c>
      <c r="B6">
        <f>VLOOKUP(A6,V_Data!$A$1:$F$41,4,0)</f>
        <v>83001</v>
      </c>
    </row>
    <row r="7" spans="1:13" x14ac:dyDescent="0.3">
      <c r="A7">
        <v>1028</v>
      </c>
      <c r="B7">
        <f>VLOOKUP(A7,V_Data!$A$1:$F$41,4,0)</f>
        <v>85758</v>
      </c>
    </row>
    <row r="8" spans="1:13" x14ac:dyDescent="0.3">
      <c r="A8">
        <v>1031</v>
      </c>
      <c r="B8">
        <f>VLOOKUP(A8,V_Data!$A$1:$F$41,4,0)</f>
        <v>40161</v>
      </c>
    </row>
    <row r="9" spans="1:13" x14ac:dyDescent="0.3">
      <c r="A9">
        <v>1007</v>
      </c>
      <c r="B9">
        <f>VLOOKUP(A9,V_Data!$A$1:$F$41,4,0)</f>
        <v>51016</v>
      </c>
    </row>
    <row r="10" spans="1:13" x14ac:dyDescent="0.3">
      <c r="A10">
        <v>1019</v>
      </c>
      <c r="B10">
        <f>VLOOKUP(A10,V_Data!$A$1:$F$41,4,0)</f>
        <v>43943</v>
      </c>
      <c r="E10" t="s">
        <v>113</v>
      </c>
    </row>
    <row r="11" spans="1:13" x14ac:dyDescent="0.3">
      <c r="A11">
        <v>1022</v>
      </c>
      <c r="B11">
        <f>VLOOKUP(A11,V_Data!$A$1:$F$41,4,0)</f>
        <v>41021</v>
      </c>
    </row>
    <row r="12" spans="1:13" x14ac:dyDescent="0.3">
      <c r="A12">
        <v>1001</v>
      </c>
      <c r="B12">
        <f>VLOOKUP(A12,V_Data!$A$1:$F$41,4,0)</f>
        <v>50627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workbookViewId="0">
      <selection activeCell="G22" sqref="G22"/>
    </sheetView>
  </sheetViews>
  <sheetFormatPr defaultRowHeight="14.4" x14ac:dyDescent="0.3"/>
  <cols>
    <col min="1" max="1" width="11.296875" style="12" bestFit="1" customWidth="1"/>
  </cols>
  <sheetData>
    <row r="1" spans="1:41" x14ac:dyDescent="0.3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3">
      <c r="A2" s="11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3">
      <c r="A3" s="11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3">
      <c r="A4" s="11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3">
      <c r="A5" s="11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3">
      <c r="A6" s="11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4"/>
  <sheetViews>
    <sheetView zoomScale="130" zoomScaleNormal="130" workbookViewId="0">
      <selection activeCell="B2" sqref="B2"/>
    </sheetView>
  </sheetViews>
  <sheetFormatPr defaultRowHeight="14.4" x14ac:dyDescent="0.3"/>
  <cols>
    <col min="1" max="1" width="21.59765625" customWidth="1"/>
    <col min="2" max="2" width="8" customWidth="1"/>
    <col min="10" max="10" width="17.796875" customWidth="1"/>
  </cols>
  <sheetData>
    <row r="1" spans="1:13" x14ac:dyDescent="0.3">
      <c r="A1" t="s">
        <v>65</v>
      </c>
      <c r="B1">
        <v>1012</v>
      </c>
      <c r="C1">
        <v>1029</v>
      </c>
      <c r="D1">
        <v>1033</v>
      </c>
      <c r="E1">
        <v>1008</v>
      </c>
      <c r="F1">
        <v>1019</v>
      </c>
      <c r="G1">
        <v>1026</v>
      </c>
      <c r="H1">
        <v>1039</v>
      </c>
      <c r="I1">
        <v>1005</v>
      </c>
      <c r="J1">
        <v>1000</v>
      </c>
    </row>
    <row r="2" spans="1:13" x14ac:dyDescent="0.3">
      <c r="A2" t="s">
        <v>3</v>
      </c>
      <c r="B2">
        <f>HLOOKUP(B1,H_Data!A1:AO6,4,FALSE)</f>
        <v>57159</v>
      </c>
      <c r="C2">
        <f>HLOOKUP(C1,H_Data!A1:AO6,4,FALSE)</f>
        <v>46873</v>
      </c>
      <c r="J2" t="str">
        <f>_xlfn.IFNA(HLOOKUP(J1,H_Data!A1:AO6,4,FALSE),"value is not in table")</f>
        <v>value is not in table</v>
      </c>
    </row>
    <row r="3" spans="1:13" x14ac:dyDescent="0.3">
      <c r="A3" t="s">
        <v>66</v>
      </c>
      <c r="M3" s="10" t="s">
        <v>115</v>
      </c>
    </row>
    <row r="4" spans="1:13" x14ac:dyDescent="0.3">
      <c r="A4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C41"/>
  <sheetViews>
    <sheetView workbookViewId="0">
      <selection activeCell="C3" sqref="C3"/>
    </sheetView>
  </sheetViews>
  <sheetFormatPr defaultRowHeight="14.4" x14ac:dyDescent="0.3"/>
  <cols>
    <col min="1" max="1" width="22.5" customWidth="1"/>
    <col min="2" max="2" width="16.09765625" customWidth="1"/>
  </cols>
  <sheetData>
    <row r="1" spans="1:3" x14ac:dyDescent="0.3">
      <c r="A1" s="1" t="s">
        <v>1</v>
      </c>
      <c r="B1" t="s">
        <v>3</v>
      </c>
      <c r="C1" t="s">
        <v>65</v>
      </c>
    </row>
    <row r="2" spans="1:3" x14ac:dyDescent="0.3">
      <c r="A2" s="2" t="s">
        <v>12</v>
      </c>
      <c r="B2">
        <f>_xlfn.XLOOKUP(A2,V_Data!B:B,V_Data!D:D,"value nhi mili",0,1)</f>
        <v>48792</v>
      </c>
      <c r="C2">
        <f>_xlfn.XLOOKUP(A2,V_Data!B:B,V_Data!D:D,"not")</f>
        <v>48792</v>
      </c>
    </row>
    <row r="3" spans="1:3" x14ac:dyDescent="0.3">
      <c r="A3" s="2" t="s">
        <v>13</v>
      </c>
      <c r="B3">
        <f>_xlfn.XLOOKUP(A3,V_Data!B:B,V_Data!D:D,"value nhi mili",0,1)</f>
        <v>83323</v>
      </c>
    </row>
    <row r="4" spans="1:3" x14ac:dyDescent="0.3">
      <c r="A4" s="2" t="s">
        <v>116</v>
      </c>
      <c r="B4" t="str">
        <f>_xlfn.XLOOKUP(A4,V_Data!B:B,V_Data!D:D,"value nhi mili",0,1)</f>
        <v>value nhi mili</v>
      </c>
    </row>
    <row r="5" spans="1:3" x14ac:dyDescent="0.3">
      <c r="A5" s="2" t="s">
        <v>15</v>
      </c>
      <c r="B5">
        <f>_xlfn.XLOOKUP(A5,V_Data!B:B,V_Data!D:D,"value nhi mili",0,1)</f>
        <v>48433</v>
      </c>
    </row>
    <row r="6" spans="1:3" x14ac:dyDescent="0.3">
      <c r="A6" s="2" t="s">
        <v>117</v>
      </c>
      <c r="B6" t="str">
        <f>_xlfn.XLOOKUP(A6,V_Data!B:B,V_Data!D:D,"value nhi mili",0,1)</f>
        <v>value nhi mili</v>
      </c>
    </row>
    <row r="7" spans="1:3" x14ac:dyDescent="0.3">
      <c r="A7" s="2" t="s">
        <v>31</v>
      </c>
      <c r="B7">
        <f>_xlfn.XLOOKUP(A7,V_Data!B:B,V_Data!D:D,"value nhi mili",0,1)</f>
        <v>59457</v>
      </c>
    </row>
    <row r="8" spans="1:3" x14ac:dyDescent="0.3">
      <c r="A8" s="2" t="s">
        <v>32</v>
      </c>
      <c r="B8">
        <f>_xlfn.XLOOKUP(A8,V_Data!B:B,V_Data!D:D,"value nhi mili",0,1)</f>
        <v>41021</v>
      </c>
    </row>
    <row r="9" spans="1:3" x14ac:dyDescent="0.3">
      <c r="A9" s="2" t="s">
        <v>118</v>
      </c>
      <c r="B9" t="str">
        <f>_xlfn.XLOOKUP(A9,V_Data!B:B,V_Data!D:D,"value nhi mili",0,1)</f>
        <v>value nhi mili</v>
      </c>
    </row>
    <row r="10" spans="1:3" x14ac:dyDescent="0.3">
      <c r="A10" s="2" t="s">
        <v>48</v>
      </c>
      <c r="B10">
        <f>_xlfn.XLOOKUP(A10,V_Data!B:B,V_Data!D:D,"value nhi mili",0,1)</f>
        <v>80397</v>
      </c>
    </row>
    <row r="11" spans="1:3" x14ac:dyDescent="0.3">
      <c r="A11" s="2" t="s">
        <v>50</v>
      </c>
      <c r="B11">
        <f>_xlfn.XLOOKUP(A11,V_Data!B:B,V_Data!D:D,"value nhi mili",0,1)</f>
        <v>41016</v>
      </c>
    </row>
    <row r="12" spans="1:3" x14ac:dyDescent="0.3">
      <c r="A12" s="2" t="s">
        <v>119</v>
      </c>
      <c r="B12" t="str">
        <f>_xlfn.XLOOKUP(A12,V_Data!B:B,V_Data!D:D,"value nhi mili",0,1)</f>
        <v>value nhi mili</v>
      </c>
    </row>
    <row r="13" spans="1:3" x14ac:dyDescent="0.3">
      <c r="A13" s="2" t="s">
        <v>19</v>
      </c>
      <c r="B13">
        <f>_xlfn.XLOOKUP(A13,V_Data!B:B,V_Data!D:D,"value nhi mili",0,1)</f>
        <v>42612</v>
      </c>
    </row>
    <row r="14" spans="1:3" x14ac:dyDescent="0.3">
      <c r="A14" s="2" t="s">
        <v>25</v>
      </c>
      <c r="B14">
        <f>_xlfn.XLOOKUP(A14,V_Data!B:B,V_Data!D:D,"value nhi mili",0,1)</f>
        <v>54541</v>
      </c>
    </row>
    <row r="15" spans="1:3" x14ac:dyDescent="0.3">
      <c r="A15" s="2" t="s">
        <v>26</v>
      </c>
      <c r="B15">
        <f>_xlfn.XLOOKUP(A15,V_Data!B:B,V_Data!D:D,"value nhi mili",0,1)</f>
        <v>75920</v>
      </c>
    </row>
    <row r="16" spans="1:3" x14ac:dyDescent="0.3">
      <c r="A16" s="2" t="s">
        <v>33</v>
      </c>
      <c r="B16">
        <f>_xlfn.XLOOKUP(A16,V_Data!B:B,V_Data!D:D,"value nhi mili",0,1)</f>
        <v>51653</v>
      </c>
    </row>
    <row r="17" spans="1:2" x14ac:dyDescent="0.3">
      <c r="A17" s="2" t="s">
        <v>34</v>
      </c>
      <c r="B17">
        <f>_xlfn.XLOOKUP(A17,V_Data!B:B,V_Data!D:D,"value nhi mili",0,1)</f>
        <v>83573</v>
      </c>
    </row>
    <row r="18" spans="1:2" x14ac:dyDescent="0.3">
      <c r="A18" s="2" t="s">
        <v>35</v>
      </c>
      <c r="B18">
        <f>_xlfn.XLOOKUP(A18,V_Data!B:B,V_Data!D:D,"value nhi mili",0,1)</f>
        <v>53417</v>
      </c>
    </row>
    <row r="19" spans="1:2" x14ac:dyDescent="0.3">
      <c r="A19" s="2" t="s">
        <v>37</v>
      </c>
    </row>
    <row r="20" spans="1:2" x14ac:dyDescent="0.3">
      <c r="A20" s="2" t="s">
        <v>41</v>
      </c>
    </row>
    <row r="21" spans="1:2" x14ac:dyDescent="0.3">
      <c r="A21" s="2" t="s">
        <v>44</v>
      </c>
    </row>
    <row r="22" spans="1:2" x14ac:dyDescent="0.3">
      <c r="A22" s="2" t="s">
        <v>45</v>
      </c>
    </row>
    <row r="23" spans="1:2" x14ac:dyDescent="0.3">
      <c r="A23" s="2" t="s">
        <v>11</v>
      </c>
    </row>
    <row r="24" spans="1:2" x14ac:dyDescent="0.3">
      <c r="A24" s="2" t="s">
        <v>16</v>
      </c>
    </row>
    <row r="25" spans="1:2" x14ac:dyDescent="0.3">
      <c r="A25" s="2" t="s">
        <v>23</v>
      </c>
    </row>
    <row r="26" spans="1:2" x14ac:dyDescent="0.3">
      <c r="A26" s="2" t="s">
        <v>28</v>
      </c>
    </row>
    <row r="27" spans="1:2" x14ac:dyDescent="0.3">
      <c r="A27" s="2" t="s">
        <v>29</v>
      </c>
    </row>
    <row r="28" spans="1:2" x14ac:dyDescent="0.3">
      <c r="A28" s="2" t="s">
        <v>30</v>
      </c>
    </row>
    <row r="29" spans="1:2" x14ac:dyDescent="0.3">
      <c r="A29" s="2" t="s">
        <v>36</v>
      </c>
    </row>
    <row r="30" spans="1:2" x14ac:dyDescent="0.3">
      <c r="A30" s="2" t="s">
        <v>42</v>
      </c>
    </row>
    <row r="31" spans="1:2" x14ac:dyDescent="0.3">
      <c r="A31" s="2" t="s">
        <v>43</v>
      </c>
    </row>
    <row r="32" spans="1:2" x14ac:dyDescent="0.3">
      <c r="A32" s="2" t="s">
        <v>46</v>
      </c>
    </row>
    <row r="33" spans="1:1" x14ac:dyDescent="0.3">
      <c r="A33" s="2" t="s">
        <v>49</v>
      </c>
    </row>
    <row r="34" spans="1:1" x14ac:dyDescent="0.3">
      <c r="A34" s="2" t="s">
        <v>18</v>
      </c>
    </row>
    <row r="35" spans="1:1" x14ac:dyDescent="0.3">
      <c r="A35" s="2" t="s">
        <v>20</v>
      </c>
    </row>
    <row r="36" spans="1:1" x14ac:dyDescent="0.3">
      <c r="A36" s="2" t="s">
        <v>27</v>
      </c>
    </row>
    <row r="37" spans="1:1" x14ac:dyDescent="0.3">
      <c r="A37" s="2" t="s">
        <v>22</v>
      </c>
    </row>
    <row r="38" spans="1:1" x14ac:dyDescent="0.3">
      <c r="A38" s="2" t="s">
        <v>24</v>
      </c>
    </row>
    <row r="39" spans="1:1" x14ac:dyDescent="0.3">
      <c r="A39" s="2" t="s">
        <v>39</v>
      </c>
    </row>
    <row r="40" spans="1:1" x14ac:dyDescent="0.3">
      <c r="A40" s="2" t="s">
        <v>40</v>
      </c>
    </row>
    <row r="41" spans="1:1" x14ac:dyDescent="0.3">
      <c r="A41" s="2" t="s">
        <v>47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F77-366E-41E7-B321-48B98D45417C}">
  <dimension ref="A12:G24"/>
  <sheetViews>
    <sheetView workbookViewId="0">
      <selection activeCell="G13" sqref="G13"/>
    </sheetView>
  </sheetViews>
  <sheetFormatPr defaultRowHeight="14.4" x14ac:dyDescent="0.3"/>
  <cols>
    <col min="1" max="1" width="80.796875" bestFit="1" customWidth="1"/>
    <col min="2" max="2" width="19.5" style="4" customWidth="1"/>
    <col min="3" max="3" width="9.5" bestFit="1" customWidth="1"/>
    <col min="4" max="4" width="11" customWidth="1"/>
    <col min="5" max="5" width="16" customWidth="1"/>
    <col min="7" max="7" width="10.8984375" customWidth="1"/>
  </cols>
  <sheetData>
    <row r="12" spans="1:7" x14ac:dyDescent="0.3">
      <c r="D12" t="s">
        <v>120</v>
      </c>
      <c r="E12" t="s">
        <v>121</v>
      </c>
    </row>
    <row r="13" spans="1:7" x14ac:dyDescent="0.3">
      <c r="A13" t="s">
        <v>51</v>
      </c>
      <c r="B13" s="4">
        <v>1015</v>
      </c>
      <c r="D13">
        <f>MATCH(B13,V_Data!A:A,0)</f>
        <v>16</v>
      </c>
      <c r="E13" t="str">
        <f>INDEX(V_Data!C:C,16)</f>
        <v>Marketing</v>
      </c>
      <c r="G13" t="str">
        <f>INDEX(V_Data!C:C,MATCH(1015,V_Data!A:A,0))</f>
        <v>Marketing</v>
      </c>
    </row>
    <row r="14" spans="1:7" x14ac:dyDescent="0.3">
      <c r="A14" t="s">
        <v>52</v>
      </c>
      <c r="B14" s="4" t="s">
        <v>17</v>
      </c>
    </row>
    <row r="15" spans="1:7" x14ac:dyDescent="0.3">
      <c r="A15" t="s">
        <v>53</v>
      </c>
      <c r="B15" s="4">
        <v>1032</v>
      </c>
      <c r="C15" s="9"/>
    </row>
    <row r="16" spans="1:7" x14ac:dyDescent="0.3">
      <c r="A16" t="s">
        <v>54</v>
      </c>
      <c r="B16" s="4" t="s">
        <v>20</v>
      </c>
    </row>
    <row r="17" spans="1:2" x14ac:dyDescent="0.3">
      <c r="A17" t="s">
        <v>55</v>
      </c>
      <c r="B17" s="4">
        <v>1028</v>
      </c>
    </row>
    <row r="18" spans="1:2" x14ac:dyDescent="0.3">
      <c r="A18" t="s">
        <v>56</v>
      </c>
      <c r="B18" s="4" t="s">
        <v>25</v>
      </c>
    </row>
    <row r="19" spans="1:2" x14ac:dyDescent="0.3">
      <c r="A19" t="s">
        <v>57</v>
      </c>
      <c r="B19" s="4">
        <v>1039</v>
      </c>
    </row>
    <row r="20" spans="1:2" x14ac:dyDescent="0.3">
      <c r="A20" t="s">
        <v>58</v>
      </c>
      <c r="B20" s="4" t="s">
        <v>67</v>
      </c>
    </row>
    <row r="21" spans="1:2" x14ac:dyDescent="0.3">
      <c r="A21" t="s">
        <v>59</v>
      </c>
      <c r="B21" s="4" t="s">
        <v>36</v>
      </c>
    </row>
    <row r="22" spans="1:2" x14ac:dyDescent="0.3">
      <c r="A22" t="s">
        <v>68</v>
      </c>
      <c r="B22" s="4">
        <v>1007</v>
      </c>
    </row>
    <row r="23" spans="1:2" x14ac:dyDescent="0.3">
      <c r="A23" t="s">
        <v>69</v>
      </c>
      <c r="B23" s="4" t="s">
        <v>14</v>
      </c>
    </row>
    <row r="24" spans="1:2" x14ac:dyDescent="0.3">
      <c r="A24" t="s">
        <v>70</v>
      </c>
      <c r="B24" s="4">
        <v>1031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E1-9A55-4906-BA4B-E9F511D0348A}">
  <dimension ref="A1:H19"/>
  <sheetViews>
    <sheetView tabSelected="1" zoomScale="120" zoomScaleNormal="120" workbookViewId="0">
      <selection activeCell="B17" sqref="B17"/>
    </sheetView>
  </sheetViews>
  <sheetFormatPr defaultRowHeight="14.4" x14ac:dyDescent="0.3"/>
  <cols>
    <col min="1" max="1" width="14.09765625" customWidth="1"/>
    <col min="2" max="2" width="19.3984375" customWidth="1"/>
    <col min="3" max="3" width="17.19921875" customWidth="1"/>
    <col min="4" max="4" width="12.796875" customWidth="1"/>
    <col min="8" max="8" width="84.3984375" customWidth="1"/>
  </cols>
  <sheetData>
    <row r="1" spans="1:8" x14ac:dyDescent="0.3">
      <c r="A1" s="5" t="s">
        <v>1</v>
      </c>
      <c r="B1" s="5" t="s">
        <v>2</v>
      </c>
      <c r="C1" s="5" t="s">
        <v>7</v>
      </c>
      <c r="D1" s="5" t="s">
        <v>71</v>
      </c>
    </row>
    <row r="2" spans="1:8" x14ac:dyDescent="0.3">
      <c r="A2" s="6" t="s">
        <v>72</v>
      </c>
      <c r="B2" s="6" t="s">
        <v>6</v>
      </c>
      <c r="C2" s="6">
        <v>5000</v>
      </c>
      <c r="D2" s="6" t="s">
        <v>73</v>
      </c>
    </row>
    <row r="3" spans="1:8" x14ac:dyDescent="0.3">
      <c r="A3" s="6" t="s">
        <v>74</v>
      </c>
      <c r="B3" s="6" t="s">
        <v>7</v>
      </c>
      <c r="C3" s="6">
        <v>7000</v>
      </c>
      <c r="D3" s="6" t="s">
        <v>75</v>
      </c>
      <c r="G3">
        <v>1</v>
      </c>
      <c r="H3" t="s">
        <v>76</v>
      </c>
    </row>
    <row r="4" spans="1:8" x14ac:dyDescent="0.3">
      <c r="A4" s="6" t="s">
        <v>77</v>
      </c>
      <c r="B4" s="6" t="s">
        <v>6</v>
      </c>
      <c r="C4" s="6">
        <v>3000</v>
      </c>
      <c r="D4" s="6" t="s">
        <v>78</v>
      </c>
      <c r="G4">
        <v>2</v>
      </c>
      <c r="H4" t="s">
        <v>79</v>
      </c>
    </row>
    <row r="5" spans="1:8" x14ac:dyDescent="0.3">
      <c r="A5" s="6" t="s">
        <v>80</v>
      </c>
      <c r="B5" s="6" t="s">
        <v>7</v>
      </c>
      <c r="C5" s="6">
        <v>4000</v>
      </c>
      <c r="D5" s="6" t="s">
        <v>81</v>
      </c>
      <c r="G5">
        <v>3</v>
      </c>
      <c r="H5" t="s">
        <v>82</v>
      </c>
    </row>
    <row r="6" spans="1:8" x14ac:dyDescent="0.3">
      <c r="A6" s="6" t="s">
        <v>83</v>
      </c>
      <c r="B6" s="6" t="s">
        <v>10</v>
      </c>
      <c r="C6" s="6">
        <v>2000</v>
      </c>
      <c r="D6" s="6" t="s">
        <v>73</v>
      </c>
      <c r="G6">
        <v>4</v>
      </c>
      <c r="H6" t="s">
        <v>84</v>
      </c>
    </row>
    <row r="7" spans="1:8" x14ac:dyDescent="0.3">
      <c r="A7" s="6" t="s">
        <v>85</v>
      </c>
      <c r="B7" s="6" t="s">
        <v>7</v>
      </c>
      <c r="C7" s="6">
        <v>6000</v>
      </c>
      <c r="D7" s="6" t="s">
        <v>78</v>
      </c>
      <c r="G7">
        <v>5</v>
      </c>
      <c r="H7" t="s">
        <v>86</v>
      </c>
    </row>
    <row r="8" spans="1:8" x14ac:dyDescent="0.3">
      <c r="A8" s="6" t="s">
        <v>87</v>
      </c>
      <c r="B8" s="6" t="s">
        <v>6</v>
      </c>
      <c r="C8" s="6">
        <v>4500</v>
      </c>
      <c r="D8" s="6" t="s">
        <v>81</v>
      </c>
    </row>
    <row r="9" spans="1:8" x14ac:dyDescent="0.3">
      <c r="A9" s="6" t="s">
        <v>88</v>
      </c>
      <c r="B9" s="6" t="s">
        <v>10</v>
      </c>
      <c r="C9" s="6">
        <v>3500</v>
      </c>
      <c r="D9" s="6" t="s">
        <v>75</v>
      </c>
    </row>
    <row r="12" spans="1:8" x14ac:dyDescent="0.3">
      <c r="B12" t="s">
        <v>89</v>
      </c>
      <c r="C12">
        <f>SUMIF(Table1[Department],"Marketing",Table1[Sales])</f>
        <v>12500</v>
      </c>
      <c r="D12">
        <f>SUMIF(Table1[Department],"Marketing",Table1[Sales])</f>
        <v>12500</v>
      </c>
    </row>
    <row r="13" spans="1:8" x14ac:dyDescent="0.3">
      <c r="B13" t="s">
        <v>90</v>
      </c>
      <c r="C13">
        <f>SUMIFS(Table1[Sales],Table1[Department],"Sales",Table1[Region],"East")</f>
        <v>6000</v>
      </c>
      <c r="D13">
        <f>SUMIFS(Table1[Sales],Table1[Department],"Sales",Table1[Region],"East")</f>
        <v>6000</v>
      </c>
    </row>
    <row r="14" spans="1:8" x14ac:dyDescent="0.3">
      <c r="B14" t="s">
        <v>91</v>
      </c>
      <c r="C14">
        <f>COUNTIF(Table1[Department],"Marketing")</f>
        <v>3</v>
      </c>
    </row>
    <row r="15" spans="1:8" x14ac:dyDescent="0.3">
      <c r="B15" t="s">
        <v>92</v>
      </c>
      <c r="C15">
        <f>COUNTIFS(Table1[Department],"HR",Table1[Region],"South")</f>
        <v>1</v>
      </c>
    </row>
    <row r="16" spans="1:8" x14ac:dyDescent="0.3">
      <c r="B16" t="s">
        <v>111</v>
      </c>
      <c r="F16" t="str" cm="1">
        <f t="array" ref="F16:F18">_xlfn.UNIQUE(Table1[Department])</f>
        <v>Marketing</v>
      </c>
    </row>
    <row r="17" spans="2:6" x14ac:dyDescent="0.3">
      <c r="B17" t="s">
        <v>122</v>
      </c>
      <c r="F17" t="str">
        <v>Sales</v>
      </c>
    </row>
    <row r="18" spans="2:6" x14ac:dyDescent="0.3">
      <c r="B18" s="7"/>
      <c r="F18" t="str">
        <v>HR</v>
      </c>
    </row>
    <row r="19" spans="2:6" x14ac:dyDescent="0.3">
      <c r="F19">
        <f>COUNTA(_xlfn.UNIQUE(Table1[Department]))</f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CE8-FA27-4C0E-9AFE-D76D8543886D}">
  <dimension ref="A1:H15"/>
  <sheetViews>
    <sheetView workbookViewId="0">
      <selection activeCell="E16" sqref="E16"/>
    </sheetView>
  </sheetViews>
  <sheetFormatPr defaultRowHeight="14.4" x14ac:dyDescent="0.3"/>
  <cols>
    <col min="1" max="1" width="11.796875" customWidth="1"/>
    <col min="2" max="2" width="15.09765625" customWidth="1"/>
    <col min="3" max="3" width="14" customWidth="1"/>
    <col min="4" max="4" width="17" customWidth="1"/>
    <col min="5" max="5" width="14.09765625" customWidth="1"/>
    <col min="8" max="8" width="71.09765625" customWidth="1"/>
  </cols>
  <sheetData>
    <row r="1" spans="1:8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71</v>
      </c>
    </row>
    <row r="2" spans="1:8" x14ac:dyDescent="0.3">
      <c r="A2" s="6" t="s">
        <v>97</v>
      </c>
      <c r="B2" s="6" t="s">
        <v>98</v>
      </c>
      <c r="C2" s="8">
        <v>1200</v>
      </c>
      <c r="D2" s="6">
        <v>15</v>
      </c>
      <c r="E2" s="6" t="s">
        <v>73</v>
      </c>
    </row>
    <row r="3" spans="1:8" x14ac:dyDescent="0.3">
      <c r="A3" s="6" t="s">
        <v>99</v>
      </c>
      <c r="B3" s="6" t="s">
        <v>98</v>
      </c>
      <c r="C3" s="8">
        <v>800</v>
      </c>
      <c r="D3" s="6">
        <v>30</v>
      </c>
      <c r="E3" s="6" t="s">
        <v>75</v>
      </c>
      <c r="G3">
        <v>1</v>
      </c>
      <c r="H3" t="s">
        <v>100</v>
      </c>
    </row>
    <row r="4" spans="1:8" x14ac:dyDescent="0.3">
      <c r="A4" s="6" t="s">
        <v>101</v>
      </c>
      <c r="B4" s="6" t="s">
        <v>98</v>
      </c>
      <c r="C4" s="8">
        <v>500</v>
      </c>
      <c r="D4" s="6">
        <v>20</v>
      </c>
      <c r="E4" s="6" t="s">
        <v>78</v>
      </c>
      <c r="G4">
        <v>2</v>
      </c>
      <c r="H4" t="s">
        <v>102</v>
      </c>
    </row>
    <row r="5" spans="1:8" x14ac:dyDescent="0.3">
      <c r="A5" s="6" t="s">
        <v>103</v>
      </c>
      <c r="B5" s="6" t="s">
        <v>104</v>
      </c>
      <c r="C5" s="8">
        <v>150</v>
      </c>
      <c r="D5" s="6">
        <v>40</v>
      </c>
      <c r="E5" s="6" t="s">
        <v>81</v>
      </c>
      <c r="G5">
        <v>3</v>
      </c>
      <c r="H5" t="s">
        <v>105</v>
      </c>
    </row>
    <row r="6" spans="1:8" x14ac:dyDescent="0.3">
      <c r="A6" s="6" t="s">
        <v>106</v>
      </c>
      <c r="B6" s="6" t="s">
        <v>104</v>
      </c>
      <c r="C6" s="8">
        <v>100</v>
      </c>
      <c r="D6" s="6">
        <v>25</v>
      </c>
      <c r="E6" s="6" t="s">
        <v>73</v>
      </c>
      <c r="G6">
        <v>4</v>
      </c>
      <c r="H6" t="s">
        <v>107</v>
      </c>
    </row>
    <row r="7" spans="1:8" x14ac:dyDescent="0.3">
      <c r="A7" s="6" t="s">
        <v>108</v>
      </c>
      <c r="B7" s="6" t="s">
        <v>98</v>
      </c>
      <c r="C7" s="8">
        <v>300</v>
      </c>
      <c r="D7" s="6">
        <v>10</v>
      </c>
      <c r="E7" s="6" t="s">
        <v>75</v>
      </c>
      <c r="G7">
        <v>5</v>
      </c>
      <c r="H7" t="s">
        <v>112</v>
      </c>
    </row>
    <row r="8" spans="1:8" x14ac:dyDescent="0.3">
      <c r="A8" s="6" t="s">
        <v>109</v>
      </c>
      <c r="B8" s="6" t="s">
        <v>104</v>
      </c>
      <c r="C8" s="8">
        <v>50</v>
      </c>
      <c r="D8" s="6">
        <v>35</v>
      </c>
      <c r="E8" s="6" t="s">
        <v>78</v>
      </c>
    </row>
    <row r="9" spans="1:8" x14ac:dyDescent="0.3">
      <c r="A9" s="6" t="s">
        <v>110</v>
      </c>
      <c r="B9" s="6" t="s">
        <v>98</v>
      </c>
      <c r="C9" s="8">
        <v>200</v>
      </c>
      <c r="D9" s="6">
        <v>5</v>
      </c>
      <c r="E9" s="6" t="s">
        <v>81</v>
      </c>
    </row>
    <row r="12" spans="1:8" x14ac:dyDescent="0.3">
      <c r="B12" t="s">
        <v>89</v>
      </c>
    </row>
    <row r="13" spans="1:8" x14ac:dyDescent="0.3">
      <c r="B13" t="s">
        <v>90</v>
      </c>
    </row>
    <row r="14" spans="1:8" x14ac:dyDescent="0.3">
      <c r="B14" t="s">
        <v>91</v>
      </c>
    </row>
    <row r="15" spans="1:8" x14ac:dyDescent="0.3">
      <c r="B15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V_Data</vt:lpstr>
      <vt:lpstr>VLookup</vt:lpstr>
      <vt:lpstr>H_Data</vt:lpstr>
      <vt:lpstr>HLookup</vt:lpstr>
      <vt:lpstr>XLookup</vt:lpstr>
      <vt:lpstr>Index Match</vt:lpstr>
      <vt:lpstr>Functions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SAKIR MANSURI</cp:lastModifiedBy>
  <dcterms:created xsi:type="dcterms:W3CDTF">2025-02-16T07:57:20Z</dcterms:created>
  <dcterms:modified xsi:type="dcterms:W3CDTF">2026-01-07T06:23:32Z</dcterms:modified>
</cp:coreProperties>
</file>