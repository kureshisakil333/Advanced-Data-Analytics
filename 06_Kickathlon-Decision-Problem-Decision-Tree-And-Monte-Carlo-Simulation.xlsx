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679fe7c43ffa6e9/Desktop/data for practice/ADA/ADA/"/>
    </mc:Choice>
  </mc:AlternateContent>
  <xr:revisionPtr revIDLastSave="1" documentId="13_ncr:1_{DE30462C-D214-4F7B-BF1C-974264995523}" xr6:coauthVersionLast="47" xr6:coauthVersionMax="47" xr10:uidLastSave="{8F19925E-62AF-422B-BB7E-C78DDF50BEFD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bhKG+gq2VovyCJx6cUEhBNaQCPrcr2A+2iWK2mOh60="/>
    </ext>
  </extLst>
</workbook>
</file>

<file path=xl/calcChain.xml><?xml version="1.0" encoding="utf-8"?>
<calcChain xmlns="http://schemas.openxmlformats.org/spreadsheetml/2006/main">
  <c r="K13" i="1" l="1"/>
  <c r="L14" i="1"/>
  <c r="L13" i="1"/>
  <c r="K14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" i="1"/>
  <c r="F14" i="1"/>
  <c r="F1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" i="1"/>
  <c r="E14" i="1"/>
  <c r="E13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" i="1"/>
</calcChain>
</file>

<file path=xl/sharedStrings.xml><?xml version="1.0" encoding="utf-8"?>
<sst xmlns="http://schemas.openxmlformats.org/spreadsheetml/2006/main" count="30" uniqueCount="19">
  <si>
    <t xml:space="preserve">Sales price </t>
  </si>
  <si>
    <t>STRONG MARKET DEMAND</t>
  </si>
  <si>
    <t>WEAK MARKET DEMAND</t>
  </si>
  <si>
    <t>USA (A)</t>
  </si>
  <si>
    <t xml:space="preserve">China (C) </t>
  </si>
  <si>
    <t>PROFIT - USA</t>
  </si>
  <si>
    <t>PROFIT - CHINA</t>
  </si>
  <si>
    <t>Supplier Capacity</t>
  </si>
  <si>
    <t>Mean</t>
  </si>
  <si>
    <t>Fixed Contract Charges</t>
  </si>
  <si>
    <t>Std</t>
  </si>
  <si>
    <t>Unit Product cost</t>
  </si>
  <si>
    <t xml:space="preserve">Profit per unit </t>
  </si>
  <si>
    <t>12000  -17000 units</t>
  </si>
  <si>
    <t>3000 - 8000 units</t>
  </si>
  <si>
    <t>DEMAND</t>
  </si>
  <si>
    <t>SIMULATE 1000 DEMAND</t>
  </si>
  <si>
    <t>PROFIT FOR USA = profit per unit*min(demand,supplier capacity)</t>
  </si>
  <si>
    <t>PROFIT FOR CHINA  = demand*profit per unit-fixed contract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</si>
</sst>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AEABAB"/>
      </bottom>
      <diagonal/>
    </border>
    <border>
      <left/>
      <right/>
      <top style="thin">
        <color rgb="FF000000"/>
      </top>
      <bottom style="thin">
        <color rgb="FFAEABAB"/>
      </bottom>
      <diagonal/>
    </border>
    <border>
      <left/>
      <right style="thin">
        <color rgb="FF000000"/>
      </right>
      <top style="thin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AEAAAA"/>
      </top>
      <bottom style="thin">
        <color rgb="FFAEAAAA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000000"/>
      </left>
      <right/>
      <top style="thin">
        <color rgb="FFAEAAA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3" borderId="6" xfId="0" applyFont="1" applyFill="1" applyBorder="1"/>
    <xf numFmtId="0" fontId="3" fillId="3" borderId="7" xfId="0" applyFont="1" applyFill="1" applyBorder="1"/>
    <xf numFmtId="0" fontId="2" fillId="4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" fontId="5" fillId="0" borderId="0" xfId="0" applyNumberFormat="1" applyFont="1"/>
    <xf numFmtId="1" fontId="5" fillId="4" borderId="4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3" fillId="0" borderId="13" xfId="0" applyFont="1" applyBorder="1"/>
    <xf numFmtId="0" fontId="7" fillId="0" borderId="0" xfId="0" applyFont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3" fillId="0" borderId="14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/>
    </xf>
    <xf numFmtId="0" fontId="1" fillId="0" borderId="0" xfId="0" applyFont="1"/>
    <xf numFmtId="0" fontId="2" fillId="2" borderId="9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2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" fontId="0" fillId="0" borderId="0" xfId="0" applyNumberFormat="1"/>
    <xf numFmtId="1" fontId="3" fillId="0" borderId="13" xfId="0" applyNumberFormat="1" applyFont="1" applyBorder="1"/>
    <xf numFmtId="1" fontId="3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9"/>
  <sheetViews>
    <sheetView tabSelected="1" workbookViewId="0">
      <selection activeCell="K13" sqref="K13"/>
    </sheetView>
  </sheetViews>
  <sheetFormatPr defaultColWidth="14.42578125" defaultRowHeight="15" x14ac:dyDescent="0.25"/>
  <cols>
    <col min="1" max="1" width="23" bestFit="1" customWidth="1"/>
    <col min="2" max="2" width="17.7109375" bestFit="1" customWidth="1"/>
    <col min="3" max="3" width="14.7109375" bestFit="1" customWidth="1"/>
    <col min="4" max="4" width="6" bestFit="1" customWidth="1"/>
    <col min="5" max="5" width="12.42578125" bestFit="1" customWidth="1"/>
    <col min="6" max="6" width="14.7109375" bestFit="1" customWidth="1"/>
    <col min="7" max="7" width="61.28515625" bestFit="1" customWidth="1"/>
    <col min="8" max="8" width="15.5703125" bestFit="1" customWidth="1"/>
    <col min="9" max="9" width="14.7109375" bestFit="1" customWidth="1"/>
    <col min="10" max="10" width="6" bestFit="1" customWidth="1"/>
    <col min="11" max="11" width="12.42578125" bestFit="1" customWidth="1"/>
    <col min="12" max="12" width="14.7109375" bestFit="1" customWidth="1"/>
    <col min="13" max="13" width="13.7109375" bestFit="1" customWidth="1"/>
    <col min="14" max="14" width="8.7109375" customWidth="1"/>
    <col min="15" max="15" width="5.7109375" bestFit="1" customWidth="1"/>
    <col min="16" max="16" width="11.7109375" bestFit="1" customWidth="1"/>
    <col min="17" max="17" width="13.7109375" bestFit="1" customWidth="1"/>
    <col min="18" max="27" width="8.7109375" customWidth="1"/>
  </cols>
  <sheetData>
    <row r="1" spans="1:17" x14ac:dyDescent="0.25">
      <c r="A1" s="1" t="s">
        <v>0</v>
      </c>
      <c r="B1" s="2">
        <v>200</v>
      </c>
      <c r="K1" s="1"/>
      <c r="L1" s="24"/>
      <c r="M1" s="24"/>
      <c r="N1" s="3"/>
    </row>
    <row r="2" spans="1:17" x14ac:dyDescent="0.25">
      <c r="A2" s="4"/>
      <c r="B2" s="4" t="s">
        <v>3</v>
      </c>
      <c r="C2" s="4" t="s">
        <v>4</v>
      </c>
      <c r="D2" s="21"/>
      <c r="E2" s="21"/>
      <c r="G2" s="1" t="s">
        <v>0</v>
      </c>
      <c r="H2" s="2">
        <v>200</v>
      </c>
      <c r="K2" s="2"/>
      <c r="L2" s="2"/>
      <c r="M2" s="2"/>
    </row>
    <row r="3" spans="1:17" ht="15.75" x14ac:dyDescent="0.25">
      <c r="A3" s="8" t="s">
        <v>7</v>
      </c>
      <c r="B3" s="9">
        <v>6000</v>
      </c>
      <c r="C3" s="9">
        <v>15000</v>
      </c>
      <c r="D3" s="22"/>
      <c r="E3" s="22"/>
      <c r="G3" s="26" t="s">
        <v>17</v>
      </c>
      <c r="K3" s="18"/>
      <c r="L3" s="2"/>
      <c r="M3" s="2"/>
    </row>
    <row r="4" spans="1:17" x14ac:dyDescent="0.25">
      <c r="A4" s="8" t="s">
        <v>9</v>
      </c>
      <c r="B4" s="11">
        <v>0</v>
      </c>
      <c r="C4" s="12">
        <v>500000</v>
      </c>
      <c r="D4" s="23"/>
      <c r="E4" s="23"/>
      <c r="G4" s="26" t="s">
        <v>18</v>
      </c>
      <c r="K4" s="18"/>
      <c r="L4" s="2"/>
      <c r="M4" s="2"/>
    </row>
    <row r="5" spans="1:17" x14ac:dyDescent="0.25">
      <c r="A5" s="8" t="s">
        <v>11</v>
      </c>
      <c r="B5" s="12">
        <v>150</v>
      </c>
      <c r="C5" s="12">
        <v>130</v>
      </c>
      <c r="D5" s="23"/>
      <c r="E5" s="23"/>
      <c r="K5" s="18"/>
      <c r="L5" s="2"/>
      <c r="M5" s="2"/>
      <c r="O5" s="18"/>
      <c r="P5" s="2"/>
      <c r="Q5" s="2"/>
    </row>
    <row r="6" spans="1:17" x14ac:dyDescent="0.25">
      <c r="A6" s="8" t="s">
        <v>12</v>
      </c>
      <c r="B6" s="12">
        <v>50</v>
      </c>
      <c r="C6" s="12">
        <v>70</v>
      </c>
      <c r="D6" s="23"/>
      <c r="E6" s="23"/>
      <c r="K6" s="18"/>
      <c r="L6" s="2"/>
      <c r="M6" s="2"/>
      <c r="O6" s="18"/>
      <c r="P6" s="2"/>
      <c r="Q6" s="2"/>
    </row>
    <row r="7" spans="1:17" x14ac:dyDescent="0.25">
      <c r="A7" s="13"/>
      <c r="B7" s="2" t="s">
        <v>13</v>
      </c>
      <c r="H7" s="2" t="s">
        <v>14</v>
      </c>
    </row>
    <row r="8" spans="1:17" x14ac:dyDescent="0.25">
      <c r="A8" s="27" t="s">
        <v>1</v>
      </c>
      <c r="B8" s="28"/>
      <c r="C8" s="29"/>
      <c r="D8" s="24"/>
      <c r="E8" s="24"/>
      <c r="G8" s="27" t="s">
        <v>2</v>
      </c>
      <c r="H8" s="28"/>
      <c r="I8" s="29"/>
    </row>
    <row r="9" spans="1:17" x14ac:dyDescent="0.25">
      <c r="A9" s="14" t="s">
        <v>16</v>
      </c>
      <c r="B9" s="15" t="s">
        <v>5</v>
      </c>
      <c r="C9" s="15" t="s">
        <v>6</v>
      </c>
      <c r="D9" s="25"/>
      <c r="E9" s="25"/>
      <c r="G9" s="14" t="s">
        <v>15</v>
      </c>
      <c r="H9" s="15" t="s">
        <v>5</v>
      </c>
      <c r="I9" s="15" t="s">
        <v>6</v>
      </c>
    </row>
    <row r="10" spans="1:17" x14ac:dyDescent="0.25">
      <c r="A10" s="33">
        <v>12026.703695791497</v>
      </c>
      <c r="B10">
        <f>MIN(A10,6000)*50</f>
        <v>300000</v>
      </c>
      <c r="C10" s="13">
        <f>MIN(A10,$C$3)*$C$6-500000</f>
        <v>341869.25870540482</v>
      </c>
      <c r="G10" s="33">
        <v>3026.7036957914975</v>
      </c>
      <c r="H10" s="13">
        <f>MIN(G10,6000)*50</f>
        <v>151335.18478957488</v>
      </c>
      <c r="I10" s="13">
        <f>MIN(G10,15000)*70-500000</f>
        <v>-288130.74129459518</v>
      </c>
      <c r="J10" s="13"/>
    </row>
    <row r="11" spans="1:17" x14ac:dyDescent="0.25">
      <c r="A11" s="33">
        <v>12061.037018951994</v>
      </c>
      <c r="B11">
        <f t="shared" ref="B11:B74" si="0">MIN(A11,6000)*50</f>
        <v>300000</v>
      </c>
      <c r="C11" s="13">
        <f t="shared" ref="C11:C74" si="1">MIN(A11,$C$3)*$C$6-500000</f>
        <v>344272.59132663964</v>
      </c>
      <c r="D11" s="30" t="s">
        <v>1</v>
      </c>
      <c r="E11" s="31"/>
      <c r="F11" s="32"/>
      <c r="G11" s="33">
        <v>3061.0370189519945</v>
      </c>
      <c r="H11" s="13">
        <f t="shared" ref="H11:H74" si="2">MIN(G11,6000)*50</f>
        <v>153051.85094759971</v>
      </c>
      <c r="I11" s="13">
        <f t="shared" ref="I11:I74" si="3">MIN(G11,15000)*70-500000</f>
        <v>-285727.40867336036</v>
      </c>
      <c r="J11" s="30" t="s">
        <v>2</v>
      </c>
      <c r="K11" s="31"/>
      <c r="L11" s="32"/>
    </row>
    <row r="12" spans="1:17" x14ac:dyDescent="0.25">
      <c r="A12" s="33">
        <v>14726.676229132969</v>
      </c>
      <c r="B12">
        <f t="shared" si="0"/>
        <v>300000</v>
      </c>
      <c r="C12" s="13">
        <f t="shared" si="1"/>
        <v>530867.33603930776</v>
      </c>
      <c r="D12" s="5"/>
      <c r="E12" s="6" t="s">
        <v>5</v>
      </c>
      <c r="F12" s="7" t="s">
        <v>6</v>
      </c>
      <c r="G12" s="33">
        <v>5726.6762291329687</v>
      </c>
      <c r="H12" s="13">
        <f t="shared" si="2"/>
        <v>286333.81145664846</v>
      </c>
      <c r="I12" s="13">
        <f t="shared" si="3"/>
        <v>-99132.663960692182</v>
      </c>
      <c r="J12" s="5"/>
      <c r="K12" s="6" t="s">
        <v>5</v>
      </c>
      <c r="L12" s="7" t="s">
        <v>6</v>
      </c>
    </row>
    <row r="13" spans="1:17" x14ac:dyDescent="0.25">
      <c r="A13" s="33">
        <v>16586.321604052857</v>
      </c>
      <c r="B13">
        <f t="shared" si="0"/>
        <v>300000</v>
      </c>
      <c r="C13" s="13">
        <f t="shared" si="1"/>
        <v>550000</v>
      </c>
      <c r="D13" s="16" t="s">
        <v>8</v>
      </c>
      <c r="E13" s="17">
        <f>AVERAGE(B10:B1009)</f>
        <v>300000</v>
      </c>
      <c r="F13" s="34">
        <f>AVERAGE(C10:C1009)</f>
        <v>483924.83657338162</v>
      </c>
      <c r="G13" s="33">
        <v>7586.3216040528578</v>
      </c>
      <c r="H13" s="13">
        <f t="shared" si="2"/>
        <v>300000</v>
      </c>
      <c r="I13" s="13">
        <f t="shared" si="3"/>
        <v>31042.512283700053</v>
      </c>
      <c r="J13" s="10" t="s">
        <v>8</v>
      </c>
      <c r="K13" s="35">
        <f>AVERAGE(H10:H1009)</f>
        <v>252803.45469527293</v>
      </c>
      <c r="L13" s="35">
        <f>AVERAGE(I10:I1009)</f>
        <v>-116808.90835291603</v>
      </c>
    </row>
    <row r="14" spans="1:17" x14ac:dyDescent="0.25">
      <c r="A14" s="33">
        <v>14454.145939512315</v>
      </c>
      <c r="B14">
        <f t="shared" si="0"/>
        <v>300000</v>
      </c>
      <c r="C14" s="13">
        <f t="shared" si="1"/>
        <v>511790.21576586203</v>
      </c>
      <c r="D14" s="19" t="s">
        <v>10</v>
      </c>
      <c r="E14" s="20">
        <f>_xlfn.STDEV.S(B10:B1009)</f>
        <v>0</v>
      </c>
      <c r="F14" s="20">
        <f>_xlfn.STDEV.S(C10:C1009)</f>
        <v>71672.192486390952</v>
      </c>
      <c r="G14" s="33">
        <v>5454.1459395123147</v>
      </c>
      <c r="H14" s="13">
        <f t="shared" si="2"/>
        <v>272707.29697561573</v>
      </c>
      <c r="I14" s="13">
        <f t="shared" si="3"/>
        <v>-118209.78423413797</v>
      </c>
      <c r="J14" s="19" t="s">
        <v>10</v>
      </c>
      <c r="K14" s="20">
        <f>_xlfn.STDEV.S(H10:H1009)</f>
        <v>51194.423204563209</v>
      </c>
      <c r="L14" s="20">
        <f>_xlfn.STDEV.S(I10:I1009)</f>
        <v>104407.37527953142</v>
      </c>
    </row>
    <row r="15" spans="1:17" x14ac:dyDescent="0.25">
      <c r="A15" s="33">
        <v>13965.239417706838</v>
      </c>
      <c r="B15">
        <f t="shared" si="0"/>
        <v>300000</v>
      </c>
      <c r="C15" s="13">
        <f t="shared" si="1"/>
        <v>477566.75923947862</v>
      </c>
      <c r="G15" s="33">
        <v>4965.239417706839</v>
      </c>
      <c r="H15" s="13">
        <f t="shared" si="2"/>
        <v>248261.97088534196</v>
      </c>
      <c r="I15" s="13">
        <f t="shared" si="3"/>
        <v>-152433.24076052126</v>
      </c>
    </row>
    <row r="16" spans="1:17" x14ac:dyDescent="0.25">
      <c r="A16" s="33">
        <v>13223.181859797967</v>
      </c>
      <c r="B16">
        <f t="shared" si="0"/>
        <v>300000</v>
      </c>
      <c r="C16" s="13">
        <f t="shared" si="1"/>
        <v>425622.73018585774</v>
      </c>
      <c r="G16" s="33">
        <v>4223.1818597979673</v>
      </c>
      <c r="H16" s="13">
        <f t="shared" si="2"/>
        <v>211159.09298989837</v>
      </c>
      <c r="I16" s="13">
        <f t="shared" si="3"/>
        <v>-204377.26981414232</v>
      </c>
    </row>
    <row r="17" spans="1:9" x14ac:dyDescent="0.25">
      <c r="A17" s="33">
        <v>13166.417432172613</v>
      </c>
      <c r="B17">
        <f t="shared" si="0"/>
        <v>300000</v>
      </c>
      <c r="C17" s="13">
        <f t="shared" si="1"/>
        <v>421649.22025208292</v>
      </c>
      <c r="G17" s="33">
        <v>4166.4174321726132</v>
      </c>
      <c r="H17" s="13">
        <f t="shared" si="2"/>
        <v>208320.87160863067</v>
      </c>
      <c r="I17" s="13">
        <f t="shared" si="3"/>
        <v>-208350.77974791708</v>
      </c>
    </row>
    <row r="18" spans="1:9" x14ac:dyDescent="0.25">
      <c r="A18" s="33">
        <v>14412.335581530198</v>
      </c>
      <c r="B18">
        <f t="shared" si="0"/>
        <v>300000</v>
      </c>
      <c r="C18" s="13">
        <f t="shared" si="1"/>
        <v>508863.49070711387</v>
      </c>
      <c r="G18" s="33">
        <v>5412.3355815301984</v>
      </c>
      <c r="H18" s="13">
        <f t="shared" si="2"/>
        <v>270616.77907650993</v>
      </c>
      <c r="I18" s="13">
        <f t="shared" si="3"/>
        <v>-121136.50929288613</v>
      </c>
    </row>
    <row r="19" spans="1:9" x14ac:dyDescent="0.25">
      <c r="A19" s="33">
        <v>12269.936216315195</v>
      </c>
      <c r="B19">
        <f t="shared" si="0"/>
        <v>300000</v>
      </c>
      <c r="C19" s="13">
        <f t="shared" si="1"/>
        <v>358895.53514206363</v>
      </c>
      <c r="G19" s="33">
        <v>3269.936216315195</v>
      </c>
      <c r="H19" s="13">
        <f t="shared" si="2"/>
        <v>163496.81081575976</v>
      </c>
      <c r="I19" s="13">
        <f t="shared" si="3"/>
        <v>-271104.46485793637</v>
      </c>
    </row>
    <row r="20" spans="1:9" x14ac:dyDescent="0.25">
      <c r="A20" s="33">
        <v>16945.371868037964</v>
      </c>
      <c r="B20">
        <f t="shared" si="0"/>
        <v>300000</v>
      </c>
      <c r="C20" s="13">
        <f t="shared" si="1"/>
        <v>550000</v>
      </c>
      <c r="G20" s="33">
        <v>7945.3718680379652</v>
      </c>
      <c r="H20" s="13">
        <f t="shared" si="2"/>
        <v>300000</v>
      </c>
      <c r="I20" s="13">
        <f t="shared" si="3"/>
        <v>56176.030762657523</v>
      </c>
    </row>
    <row r="21" spans="1:9" x14ac:dyDescent="0.25">
      <c r="A21" s="33">
        <v>16570.146794030581</v>
      </c>
      <c r="B21">
        <f t="shared" si="0"/>
        <v>300000</v>
      </c>
      <c r="C21" s="13">
        <f t="shared" si="1"/>
        <v>550000</v>
      </c>
      <c r="G21" s="33">
        <v>7570.1467940305793</v>
      </c>
      <c r="H21" s="13">
        <f t="shared" si="2"/>
        <v>300000</v>
      </c>
      <c r="I21" s="13">
        <f t="shared" si="3"/>
        <v>29910.275582140544</v>
      </c>
    </row>
    <row r="22" spans="1:9" x14ac:dyDescent="0.25">
      <c r="A22" s="33">
        <v>14055.574205755791</v>
      </c>
      <c r="B22">
        <f t="shared" si="0"/>
        <v>300000</v>
      </c>
      <c r="C22" s="13">
        <f t="shared" si="1"/>
        <v>483890.19440290541</v>
      </c>
      <c r="G22" s="33">
        <v>5055.5742057557909</v>
      </c>
      <c r="H22" s="13">
        <f t="shared" si="2"/>
        <v>252778.71028778955</v>
      </c>
      <c r="I22" s="13">
        <f t="shared" si="3"/>
        <v>-146109.80559709464</v>
      </c>
    </row>
    <row r="23" spans="1:9" x14ac:dyDescent="0.25">
      <c r="A23" s="33">
        <v>13083.25449385052</v>
      </c>
      <c r="B23">
        <f t="shared" si="0"/>
        <v>300000</v>
      </c>
      <c r="C23" s="13">
        <f t="shared" si="1"/>
        <v>415827.81456953636</v>
      </c>
      <c r="G23" s="33">
        <v>4083.2544938505202</v>
      </c>
      <c r="H23" s="13">
        <f t="shared" si="2"/>
        <v>204162.72469252601</v>
      </c>
      <c r="I23" s="13">
        <f t="shared" si="3"/>
        <v>-214172.18543046358</v>
      </c>
    </row>
    <row r="24" spans="1:9" x14ac:dyDescent="0.25">
      <c r="A24" s="33">
        <v>12356.456190679648</v>
      </c>
      <c r="B24">
        <f t="shared" si="0"/>
        <v>300000</v>
      </c>
      <c r="C24" s="13">
        <f t="shared" si="1"/>
        <v>364951.93334757537</v>
      </c>
      <c r="G24" s="33">
        <v>3356.4561906796471</v>
      </c>
      <c r="H24" s="13">
        <f t="shared" si="2"/>
        <v>167822.80953398236</v>
      </c>
      <c r="I24" s="13">
        <f t="shared" si="3"/>
        <v>-265048.06665242469</v>
      </c>
    </row>
    <row r="25" spans="1:9" x14ac:dyDescent="0.25">
      <c r="A25" s="33">
        <v>15543.961912900173</v>
      </c>
      <c r="B25">
        <f t="shared" si="0"/>
        <v>300000</v>
      </c>
      <c r="C25" s="13">
        <f t="shared" si="1"/>
        <v>550000</v>
      </c>
      <c r="G25" s="33">
        <v>6543.961912900173</v>
      </c>
      <c r="H25" s="13">
        <f t="shared" si="2"/>
        <v>300000</v>
      </c>
      <c r="I25" s="13">
        <f t="shared" si="3"/>
        <v>-41922.666096987901</v>
      </c>
    </row>
    <row r="26" spans="1:9" x14ac:dyDescent="0.25">
      <c r="A26" s="33">
        <v>15233.130893887143</v>
      </c>
      <c r="B26">
        <f t="shared" si="0"/>
        <v>300000</v>
      </c>
      <c r="C26" s="13">
        <f t="shared" si="1"/>
        <v>550000</v>
      </c>
      <c r="G26" s="33">
        <v>6233.1308938871425</v>
      </c>
      <c r="H26" s="13">
        <f t="shared" si="2"/>
        <v>300000</v>
      </c>
      <c r="I26" s="13">
        <f t="shared" si="3"/>
        <v>-63680.837427899998</v>
      </c>
    </row>
    <row r="27" spans="1:9" x14ac:dyDescent="0.25">
      <c r="A27" s="33">
        <v>14092.349009674368</v>
      </c>
      <c r="B27">
        <f t="shared" si="0"/>
        <v>300000</v>
      </c>
      <c r="C27" s="13">
        <f t="shared" si="1"/>
        <v>486464.43067720579</v>
      </c>
      <c r="G27" s="33">
        <v>5092.3490096743681</v>
      </c>
      <c r="H27" s="13">
        <f t="shared" si="2"/>
        <v>254617.45048371839</v>
      </c>
      <c r="I27" s="13">
        <f t="shared" si="3"/>
        <v>-143535.56932279421</v>
      </c>
    </row>
    <row r="28" spans="1:9" x14ac:dyDescent="0.25">
      <c r="A28" s="33">
        <v>14189.855647450178</v>
      </c>
      <c r="B28">
        <f t="shared" si="0"/>
        <v>300000</v>
      </c>
      <c r="C28" s="13">
        <f t="shared" si="1"/>
        <v>493289.89532151248</v>
      </c>
      <c r="G28" s="33">
        <v>5189.8556474501784</v>
      </c>
      <c r="H28" s="13">
        <f t="shared" si="2"/>
        <v>259492.78237250893</v>
      </c>
      <c r="I28" s="13">
        <f t="shared" si="3"/>
        <v>-136710.10467848752</v>
      </c>
    </row>
    <row r="29" spans="1:9" x14ac:dyDescent="0.25">
      <c r="A29" s="33">
        <v>15002.410962248603</v>
      </c>
      <c r="B29">
        <f t="shared" si="0"/>
        <v>300000</v>
      </c>
      <c r="C29" s="13">
        <f t="shared" si="1"/>
        <v>550000</v>
      </c>
      <c r="G29" s="33">
        <v>6002.4109622486039</v>
      </c>
      <c r="H29" s="13">
        <f t="shared" si="2"/>
        <v>300000</v>
      </c>
      <c r="I29" s="13">
        <f t="shared" si="3"/>
        <v>-79831.232642597752</v>
      </c>
    </row>
    <row r="30" spans="1:9" x14ac:dyDescent="0.25">
      <c r="A30" s="33">
        <v>13359.141819513536</v>
      </c>
      <c r="B30">
        <f t="shared" si="0"/>
        <v>300000</v>
      </c>
      <c r="C30" s="13">
        <f t="shared" si="1"/>
        <v>435139.92736594751</v>
      </c>
      <c r="G30" s="33">
        <v>4359.1418195135348</v>
      </c>
      <c r="H30" s="13">
        <f t="shared" si="2"/>
        <v>217957.09097567675</v>
      </c>
      <c r="I30" s="13">
        <f t="shared" si="3"/>
        <v>-194860.07263405254</v>
      </c>
    </row>
    <row r="31" spans="1:9" x14ac:dyDescent="0.25">
      <c r="A31" s="33">
        <v>16078.798791467025</v>
      </c>
      <c r="B31">
        <f t="shared" si="0"/>
        <v>300000</v>
      </c>
      <c r="C31" s="13">
        <f t="shared" si="1"/>
        <v>550000</v>
      </c>
      <c r="G31" s="33">
        <v>7078.7987914670248</v>
      </c>
      <c r="H31" s="13">
        <f t="shared" si="2"/>
        <v>300000</v>
      </c>
      <c r="I31" s="13">
        <f t="shared" si="3"/>
        <v>-4484.0845973082469</v>
      </c>
    </row>
    <row r="32" spans="1:9" x14ac:dyDescent="0.25">
      <c r="A32" s="33">
        <v>16529.862361522264</v>
      </c>
      <c r="B32">
        <f t="shared" si="0"/>
        <v>300000</v>
      </c>
      <c r="C32" s="13">
        <f t="shared" si="1"/>
        <v>550000</v>
      </c>
      <c r="G32" s="33">
        <v>7529.8623615222632</v>
      </c>
      <c r="H32" s="13">
        <f t="shared" si="2"/>
        <v>300000</v>
      </c>
      <c r="I32" s="13">
        <f t="shared" si="3"/>
        <v>27090.365306558437</v>
      </c>
    </row>
    <row r="33" spans="1:9" x14ac:dyDescent="0.25">
      <c r="A33" s="33">
        <v>15907.437360759301</v>
      </c>
      <c r="B33">
        <f t="shared" si="0"/>
        <v>300000</v>
      </c>
      <c r="C33" s="13">
        <f t="shared" si="1"/>
        <v>550000</v>
      </c>
      <c r="G33" s="33">
        <v>6907.4373607593006</v>
      </c>
      <c r="H33" s="13">
        <f t="shared" si="2"/>
        <v>300000</v>
      </c>
      <c r="I33" s="13">
        <f t="shared" si="3"/>
        <v>-16479.384746848955</v>
      </c>
    </row>
    <row r="34" spans="1:9" x14ac:dyDescent="0.25">
      <c r="A34" s="33">
        <v>13402.325510422072</v>
      </c>
      <c r="B34">
        <f t="shared" si="0"/>
        <v>300000</v>
      </c>
      <c r="C34" s="13">
        <f t="shared" si="1"/>
        <v>438162.78572954505</v>
      </c>
      <c r="G34" s="33">
        <v>4402.3255104220716</v>
      </c>
      <c r="H34" s="13">
        <f t="shared" si="2"/>
        <v>220116.27552110358</v>
      </c>
      <c r="I34" s="13">
        <f t="shared" si="3"/>
        <v>-191837.21427045501</v>
      </c>
    </row>
    <row r="35" spans="1:9" x14ac:dyDescent="0.25">
      <c r="A35" s="33">
        <v>13074.251533555102</v>
      </c>
      <c r="B35">
        <f t="shared" si="0"/>
        <v>300000</v>
      </c>
      <c r="C35" s="13">
        <f t="shared" si="1"/>
        <v>415197.6073488571</v>
      </c>
      <c r="G35" s="33">
        <v>4074.2515335551011</v>
      </c>
      <c r="H35" s="13">
        <f t="shared" si="2"/>
        <v>203712.57667775505</v>
      </c>
      <c r="I35" s="13">
        <f t="shared" si="3"/>
        <v>-214802.3926511429</v>
      </c>
    </row>
    <row r="36" spans="1:9" x14ac:dyDescent="0.25">
      <c r="A36" s="33">
        <v>12966.826380199591</v>
      </c>
      <c r="B36">
        <f t="shared" si="0"/>
        <v>300000</v>
      </c>
      <c r="C36" s="13">
        <f t="shared" si="1"/>
        <v>407677.8466139714</v>
      </c>
      <c r="G36" s="33">
        <v>3966.8263801995909</v>
      </c>
      <c r="H36" s="13">
        <f t="shared" si="2"/>
        <v>198341.31900997955</v>
      </c>
      <c r="I36" s="13">
        <f t="shared" si="3"/>
        <v>-222322.15338602866</v>
      </c>
    </row>
    <row r="37" spans="1:9" x14ac:dyDescent="0.25">
      <c r="A37" s="33">
        <v>12929.441206091495</v>
      </c>
      <c r="B37">
        <f t="shared" si="0"/>
        <v>300000</v>
      </c>
      <c r="C37" s="13">
        <f t="shared" si="1"/>
        <v>405060.88442640461</v>
      </c>
      <c r="G37" s="33">
        <v>3929.4412060914947</v>
      </c>
      <c r="H37" s="13">
        <f t="shared" si="2"/>
        <v>196472.06030457473</v>
      </c>
      <c r="I37" s="13">
        <f t="shared" si="3"/>
        <v>-224939.11557359539</v>
      </c>
    </row>
    <row r="38" spans="1:9" x14ac:dyDescent="0.25">
      <c r="A38" s="33">
        <v>12525.681325724052</v>
      </c>
      <c r="B38">
        <f t="shared" si="0"/>
        <v>300000</v>
      </c>
      <c r="C38" s="13">
        <f t="shared" si="1"/>
        <v>376797.69280068367</v>
      </c>
      <c r="G38" s="33">
        <v>3525.6813257240515</v>
      </c>
      <c r="H38" s="13">
        <f t="shared" si="2"/>
        <v>176284.06628620258</v>
      </c>
      <c r="I38" s="13">
        <f t="shared" si="3"/>
        <v>-253202.30719931639</v>
      </c>
    </row>
    <row r="39" spans="1:9" x14ac:dyDescent="0.25">
      <c r="A39" s="33">
        <v>12566.881313516647</v>
      </c>
      <c r="B39">
        <f t="shared" si="0"/>
        <v>300000</v>
      </c>
      <c r="C39" s="13">
        <f t="shared" si="1"/>
        <v>379681.69194616529</v>
      </c>
      <c r="G39" s="33">
        <v>3566.8813135166479</v>
      </c>
      <c r="H39" s="13">
        <f t="shared" si="2"/>
        <v>178344.06567583239</v>
      </c>
      <c r="I39" s="13">
        <f t="shared" si="3"/>
        <v>-250318.30805383465</v>
      </c>
    </row>
    <row r="40" spans="1:9" x14ac:dyDescent="0.25">
      <c r="A40" s="33">
        <v>16605.548265022735</v>
      </c>
      <c r="B40">
        <f t="shared" si="0"/>
        <v>300000</v>
      </c>
      <c r="C40" s="13">
        <f t="shared" si="1"/>
        <v>550000</v>
      </c>
      <c r="G40" s="33">
        <v>7605.5482650227368</v>
      </c>
      <c r="H40" s="13">
        <f t="shared" si="2"/>
        <v>300000</v>
      </c>
      <c r="I40" s="13">
        <f t="shared" si="3"/>
        <v>32388.378551591537</v>
      </c>
    </row>
    <row r="41" spans="1:9" x14ac:dyDescent="0.25">
      <c r="A41" s="33">
        <v>12548.875392925809</v>
      </c>
      <c r="B41">
        <f t="shared" si="0"/>
        <v>300000</v>
      </c>
      <c r="C41" s="13">
        <f t="shared" si="1"/>
        <v>378421.27750480664</v>
      </c>
      <c r="G41" s="33">
        <v>3548.8753929258096</v>
      </c>
      <c r="H41" s="13">
        <f t="shared" si="2"/>
        <v>177443.76964629049</v>
      </c>
      <c r="I41" s="13">
        <f t="shared" si="3"/>
        <v>-251578.72249519333</v>
      </c>
    </row>
    <row r="42" spans="1:9" x14ac:dyDescent="0.25">
      <c r="A42" s="33">
        <v>16408.093508713035</v>
      </c>
      <c r="B42">
        <f t="shared" si="0"/>
        <v>300000</v>
      </c>
      <c r="C42" s="13">
        <f t="shared" si="1"/>
        <v>550000</v>
      </c>
      <c r="G42" s="33">
        <v>7408.0935087130347</v>
      </c>
      <c r="H42" s="13">
        <f t="shared" si="2"/>
        <v>300000</v>
      </c>
      <c r="I42" s="13">
        <f t="shared" si="3"/>
        <v>18566.545609912428</v>
      </c>
    </row>
    <row r="43" spans="1:9" x14ac:dyDescent="0.25">
      <c r="A43" s="33">
        <v>14661.976989043855</v>
      </c>
      <c r="B43">
        <f t="shared" si="0"/>
        <v>300000</v>
      </c>
      <c r="C43" s="13">
        <f t="shared" si="1"/>
        <v>526338.38923306984</v>
      </c>
      <c r="G43" s="33">
        <v>5661.9769890438547</v>
      </c>
      <c r="H43" s="13">
        <f t="shared" si="2"/>
        <v>283098.84945219272</v>
      </c>
      <c r="I43" s="13">
        <f t="shared" si="3"/>
        <v>-103661.61076693016</v>
      </c>
    </row>
    <row r="44" spans="1:9" x14ac:dyDescent="0.25">
      <c r="A44" s="33">
        <v>13206.396679586169</v>
      </c>
      <c r="B44">
        <f t="shared" si="0"/>
        <v>300000</v>
      </c>
      <c r="C44" s="13">
        <f t="shared" si="1"/>
        <v>424447.76757103181</v>
      </c>
      <c r="G44" s="33">
        <v>4206.3966795861688</v>
      </c>
      <c r="H44" s="13">
        <f t="shared" si="2"/>
        <v>210319.83397930843</v>
      </c>
      <c r="I44" s="13">
        <f t="shared" si="3"/>
        <v>-205552.23242896819</v>
      </c>
    </row>
    <row r="45" spans="1:9" x14ac:dyDescent="0.25">
      <c r="A45" s="33">
        <v>16752.800073244423</v>
      </c>
      <c r="B45">
        <f t="shared" si="0"/>
        <v>300000</v>
      </c>
      <c r="C45" s="13">
        <f t="shared" si="1"/>
        <v>550000</v>
      </c>
      <c r="G45" s="33">
        <v>7752.8000732444225</v>
      </c>
      <c r="H45" s="13">
        <f t="shared" si="2"/>
        <v>300000</v>
      </c>
      <c r="I45" s="13">
        <f t="shared" si="3"/>
        <v>42696.005127109587</v>
      </c>
    </row>
    <row r="46" spans="1:9" x14ac:dyDescent="0.25">
      <c r="A46" s="33">
        <v>13777.550584429457</v>
      </c>
      <c r="B46">
        <f t="shared" si="0"/>
        <v>300000</v>
      </c>
      <c r="C46" s="13">
        <f t="shared" si="1"/>
        <v>464428.54091006191</v>
      </c>
      <c r="G46" s="33">
        <v>4777.5505844294566</v>
      </c>
      <c r="H46" s="13">
        <f t="shared" si="2"/>
        <v>238877.52922147283</v>
      </c>
      <c r="I46" s="13">
        <f t="shared" si="3"/>
        <v>-165571.45908993803</v>
      </c>
    </row>
    <row r="47" spans="1:9" x14ac:dyDescent="0.25">
      <c r="A47" s="33">
        <v>16604.022339548937</v>
      </c>
      <c r="B47">
        <f t="shared" si="0"/>
        <v>300000</v>
      </c>
      <c r="C47" s="13">
        <f t="shared" si="1"/>
        <v>550000</v>
      </c>
      <c r="G47" s="33">
        <v>7604.0223395489365</v>
      </c>
      <c r="H47" s="13">
        <f t="shared" si="2"/>
        <v>300000</v>
      </c>
      <c r="I47" s="13">
        <f t="shared" si="3"/>
        <v>32281.563768425607</v>
      </c>
    </row>
    <row r="48" spans="1:9" x14ac:dyDescent="0.25">
      <c r="A48" s="33">
        <v>13246.223334452345</v>
      </c>
      <c r="B48">
        <f t="shared" si="0"/>
        <v>300000</v>
      </c>
      <c r="C48" s="13">
        <f t="shared" si="1"/>
        <v>427235.63341166417</v>
      </c>
      <c r="G48" s="33">
        <v>4246.2233344523456</v>
      </c>
      <c r="H48" s="13">
        <f t="shared" si="2"/>
        <v>212311.16672261729</v>
      </c>
      <c r="I48" s="13">
        <f t="shared" si="3"/>
        <v>-202764.36658833583</v>
      </c>
    </row>
    <row r="49" spans="1:9" x14ac:dyDescent="0.25">
      <c r="A49" s="33">
        <v>14983.947264015625</v>
      </c>
      <c r="B49">
        <f t="shared" si="0"/>
        <v>300000</v>
      </c>
      <c r="C49" s="13">
        <f t="shared" si="1"/>
        <v>548876.30848109373</v>
      </c>
      <c r="G49" s="33">
        <v>5983.9472640156255</v>
      </c>
      <c r="H49" s="13">
        <f t="shared" si="2"/>
        <v>299197.36320078128</v>
      </c>
      <c r="I49" s="13">
        <f t="shared" si="3"/>
        <v>-81123.691518906213</v>
      </c>
    </row>
    <row r="50" spans="1:9" x14ac:dyDescent="0.25">
      <c r="A50" s="33">
        <v>16191.564683980834</v>
      </c>
      <c r="B50">
        <f t="shared" si="0"/>
        <v>300000</v>
      </c>
      <c r="C50" s="13">
        <f t="shared" si="1"/>
        <v>550000</v>
      </c>
      <c r="G50" s="33">
        <v>7191.5646839808342</v>
      </c>
      <c r="H50" s="13">
        <f t="shared" si="2"/>
        <v>300000</v>
      </c>
      <c r="I50" s="13">
        <f t="shared" si="3"/>
        <v>3409.5278786583804</v>
      </c>
    </row>
    <row r="51" spans="1:9" x14ac:dyDescent="0.25">
      <c r="A51" s="33">
        <v>16566.02679525132</v>
      </c>
      <c r="B51">
        <f t="shared" si="0"/>
        <v>300000</v>
      </c>
      <c r="C51" s="13">
        <f t="shared" si="1"/>
        <v>550000</v>
      </c>
      <c r="G51" s="33">
        <v>7566.0267952513204</v>
      </c>
      <c r="H51" s="13">
        <f t="shared" si="2"/>
        <v>300000</v>
      </c>
      <c r="I51" s="13">
        <f t="shared" si="3"/>
        <v>29621.875667592394</v>
      </c>
    </row>
    <row r="52" spans="1:9" x14ac:dyDescent="0.25">
      <c r="A52" s="33">
        <v>16172.338023010956</v>
      </c>
      <c r="B52">
        <f t="shared" si="0"/>
        <v>300000</v>
      </c>
      <c r="C52" s="13">
        <f t="shared" si="1"/>
        <v>550000</v>
      </c>
      <c r="G52" s="33">
        <v>7172.338023010956</v>
      </c>
      <c r="H52" s="13">
        <f t="shared" si="2"/>
        <v>300000</v>
      </c>
      <c r="I52" s="13">
        <f t="shared" si="3"/>
        <v>2063.661610766896</v>
      </c>
    </row>
    <row r="53" spans="1:9" x14ac:dyDescent="0.25">
      <c r="A53" s="33">
        <v>14497.63481551561</v>
      </c>
      <c r="B53">
        <f t="shared" si="0"/>
        <v>300000</v>
      </c>
      <c r="C53" s="13">
        <f t="shared" si="1"/>
        <v>514834.43708609266</v>
      </c>
      <c r="G53" s="33">
        <v>5497.6348155156102</v>
      </c>
      <c r="H53" s="13">
        <f t="shared" si="2"/>
        <v>274881.74077578052</v>
      </c>
      <c r="I53" s="13">
        <f t="shared" si="3"/>
        <v>-115165.56291390728</v>
      </c>
    </row>
    <row r="54" spans="1:9" x14ac:dyDescent="0.25">
      <c r="A54" s="33">
        <v>12589.007232886746</v>
      </c>
      <c r="B54">
        <f t="shared" si="0"/>
        <v>300000</v>
      </c>
      <c r="C54" s="13">
        <f t="shared" si="1"/>
        <v>381230.5063020722</v>
      </c>
      <c r="G54" s="33">
        <v>3589.0072328867459</v>
      </c>
      <c r="H54" s="13">
        <f t="shared" si="2"/>
        <v>179450.3616443373</v>
      </c>
      <c r="I54" s="13">
        <f t="shared" si="3"/>
        <v>-248769.4936979278</v>
      </c>
    </row>
    <row r="55" spans="1:9" x14ac:dyDescent="0.25">
      <c r="A55" s="33">
        <v>13113.773003326518</v>
      </c>
      <c r="B55">
        <f t="shared" si="0"/>
        <v>300000</v>
      </c>
      <c r="C55" s="13">
        <f t="shared" si="1"/>
        <v>417964.11023285624</v>
      </c>
      <c r="G55" s="33">
        <v>4113.7730033265179</v>
      </c>
      <c r="H55" s="13">
        <f t="shared" si="2"/>
        <v>205688.65016632591</v>
      </c>
      <c r="I55" s="13">
        <f t="shared" si="3"/>
        <v>-212035.88976714376</v>
      </c>
    </row>
    <row r="56" spans="1:9" x14ac:dyDescent="0.25">
      <c r="A56" s="33">
        <v>12637.989440595722</v>
      </c>
      <c r="B56">
        <f t="shared" si="0"/>
        <v>300000</v>
      </c>
      <c r="C56" s="13">
        <f t="shared" si="1"/>
        <v>384659.2608417006</v>
      </c>
      <c r="G56" s="33">
        <v>3637.9894405957211</v>
      </c>
      <c r="H56" s="13">
        <f t="shared" si="2"/>
        <v>181899.47202978606</v>
      </c>
      <c r="I56" s="13">
        <f t="shared" si="3"/>
        <v>-245340.73915829952</v>
      </c>
    </row>
    <row r="57" spans="1:9" x14ac:dyDescent="0.25">
      <c r="A57" s="33">
        <v>16783.623767815181</v>
      </c>
      <c r="B57">
        <f t="shared" si="0"/>
        <v>300000</v>
      </c>
      <c r="C57" s="13">
        <f t="shared" si="1"/>
        <v>550000</v>
      </c>
      <c r="G57" s="33">
        <v>7783.6237678151801</v>
      </c>
      <c r="H57" s="13">
        <f t="shared" si="2"/>
        <v>300000</v>
      </c>
      <c r="I57" s="13">
        <f t="shared" si="3"/>
        <v>44853.663747062557</v>
      </c>
    </row>
    <row r="58" spans="1:9" x14ac:dyDescent="0.25">
      <c r="A58" s="33">
        <v>15652.302621539964</v>
      </c>
      <c r="B58">
        <f t="shared" si="0"/>
        <v>300000</v>
      </c>
      <c r="C58" s="13">
        <f t="shared" si="1"/>
        <v>550000</v>
      </c>
      <c r="G58" s="33">
        <v>6652.3026215399641</v>
      </c>
      <c r="H58" s="13">
        <f t="shared" si="2"/>
        <v>300000</v>
      </c>
      <c r="I58" s="13">
        <f t="shared" si="3"/>
        <v>-34338.816492202517</v>
      </c>
    </row>
    <row r="59" spans="1:9" x14ac:dyDescent="0.25">
      <c r="A59" s="33">
        <v>14248.603778191473</v>
      </c>
      <c r="B59">
        <f t="shared" si="0"/>
        <v>300000</v>
      </c>
      <c r="C59" s="13">
        <f t="shared" si="1"/>
        <v>497402.26447340311</v>
      </c>
      <c r="G59" s="33">
        <v>5248.6037781914729</v>
      </c>
      <c r="H59" s="13">
        <f t="shared" si="2"/>
        <v>262430.18890957366</v>
      </c>
      <c r="I59" s="13">
        <f t="shared" si="3"/>
        <v>-132597.73552659689</v>
      </c>
    </row>
    <row r="60" spans="1:9" x14ac:dyDescent="0.25">
      <c r="A60" s="33">
        <v>12996.734519486068</v>
      </c>
      <c r="B60">
        <f t="shared" si="0"/>
        <v>300000</v>
      </c>
      <c r="C60" s="13">
        <f t="shared" si="1"/>
        <v>409771.41636402474</v>
      </c>
      <c r="G60" s="33">
        <v>3996.7345194860682</v>
      </c>
      <c r="H60" s="13">
        <f t="shared" si="2"/>
        <v>199836.72597430341</v>
      </c>
      <c r="I60" s="13">
        <f t="shared" si="3"/>
        <v>-220228.58363597526</v>
      </c>
    </row>
    <row r="61" spans="1:9" x14ac:dyDescent="0.25">
      <c r="A61" s="33">
        <v>15207.953123569445</v>
      </c>
      <c r="B61">
        <f t="shared" si="0"/>
        <v>300000</v>
      </c>
      <c r="C61" s="13">
        <f t="shared" si="1"/>
        <v>550000</v>
      </c>
      <c r="G61" s="33">
        <v>6207.9531235694449</v>
      </c>
      <c r="H61" s="13">
        <f t="shared" si="2"/>
        <v>300000</v>
      </c>
      <c r="I61" s="13">
        <f t="shared" si="3"/>
        <v>-65443.28135013883</v>
      </c>
    </row>
    <row r="62" spans="1:9" x14ac:dyDescent="0.25">
      <c r="A62" s="33">
        <v>14503.891109958189</v>
      </c>
      <c r="B62">
        <f t="shared" si="0"/>
        <v>300000</v>
      </c>
      <c r="C62" s="13">
        <f t="shared" si="1"/>
        <v>515272.37769707327</v>
      </c>
      <c r="G62" s="33">
        <v>5503.8911099581892</v>
      </c>
      <c r="H62" s="13">
        <f t="shared" si="2"/>
        <v>275194.55549790943</v>
      </c>
      <c r="I62" s="13">
        <f t="shared" si="3"/>
        <v>-114727.62230292673</v>
      </c>
    </row>
    <row r="63" spans="1:9" x14ac:dyDescent="0.25">
      <c r="A63" s="33">
        <v>12437.94061098056</v>
      </c>
      <c r="B63">
        <f t="shared" si="0"/>
        <v>300000</v>
      </c>
      <c r="C63" s="13">
        <f t="shared" si="1"/>
        <v>370655.84276863921</v>
      </c>
      <c r="G63" s="33">
        <v>3437.9406109805595</v>
      </c>
      <c r="H63" s="13">
        <f t="shared" si="2"/>
        <v>171897.03054902799</v>
      </c>
      <c r="I63" s="13">
        <f t="shared" si="3"/>
        <v>-259344.15723136082</v>
      </c>
    </row>
    <row r="64" spans="1:9" x14ac:dyDescent="0.25">
      <c r="A64" s="33">
        <v>12837.275307473983</v>
      </c>
      <c r="B64">
        <f t="shared" si="0"/>
        <v>300000</v>
      </c>
      <c r="C64" s="13">
        <f t="shared" si="1"/>
        <v>398609.27152317879</v>
      </c>
      <c r="G64" s="33">
        <v>3837.275307473983</v>
      </c>
      <c r="H64" s="13">
        <f t="shared" si="2"/>
        <v>191863.76537369916</v>
      </c>
      <c r="I64" s="13">
        <f t="shared" si="3"/>
        <v>-231390.72847682121</v>
      </c>
    </row>
    <row r="65" spans="1:9" x14ac:dyDescent="0.25">
      <c r="A65" s="33">
        <v>16532.303842280344</v>
      </c>
      <c r="B65">
        <f t="shared" si="0"/>
        <v>300000</v>
      </c>
      <c r="C65" s="13">
        <f t="shared" si="1"/>
        <v>550000</v>
      </c>
      <c r="G65" s="33">
        <v>7532.3038422803429</v>
      </c>
      <c r="H65" s="13">
        <f t="shared" si="2"/>
        <v>300000</v>
      </c>
      <c r="I65" s="13">
        <f t="shared" si="3"/>
        <v>27261.268959623994</v>
      </c>
    </row>
    <row r="66" spans="1:9" x14ac:dyDescent="0.25">
      <c r="A66" s="33">
        <v>15775.902584917752</v>
      </c>
      <c r="B66">
        <f t="shared" si="0"/>
        <v>300000</v>
      </c>
      <c r="C66" s="13">
        <f t="shared" si="1"/>
        <v>550000</v>
      </c>
      <c r="G66" s="33">
        <v>6775.9025849177524</v>
      </c>
      <c r="H66" s="13">
        <f t="shared" si="2"/>
        <v>300000</v>
      </c>
      <c r="I66" s="13">
        <f t="shared" si="3"/>
        <v>-25686.819055757311</v>
      </c>
    </row>
    <row r="67" spans="1:9" x14ac:dyDescent="0.25">
      <c r="A67" s="33">
        <v>14537.614062929166</v>
      </c>
      <c r="B67">
        <f t="shared" si="0"/>
        <v>300000</v>
      </c>
      <c r="C67" s="13">
        <f t="shared" si="1"/>
        <v>517632.98440504156</v>
      </c>
      <c r="G67" s="33">
        <v>5537.6140629291667</v>
      </c>
      <c r="H67" s="13">
        <f t="shared" si="2"/>
        <v>276880.70314645831</v>
      </c>
      <c r="I67" s="13">
        <f t="shared" si="3"/>
        <v>-112367.01559495833</v>
      </c>
    </row>
    <row r="68" spans="1:9" x14ac:dyDescent="0.25">
      <c r="A68" s="33">
        <v>13841.33426923429</v>
      </c>
      <c r="B68">
        <f t="shared" si="0"/>
        <v>300000</v>
      </c>
      <c r="C68" s="13">
        <f t="shared" si="1"/>
        <v>468893.39884640032</v>
      </c>
      <c r="G68" s="33">
        <v>4841.3342692342903</v>
      </c>
      <c r="H68" s="13">
        <f t="shared" si="2"/>
        <v>242066.71346171451</v>
      </c>
      <c r="I68" s="13">
        <f t="shared" si="3"/>
        <v>-161106.60115359968</v>
      </c>
    </row>
    <row r="69" spans="1:9" x14ac:dyDescent="0.25">
      <c r="A69" s="33">
        <v>16466.231269264808</v>
      </c>
      <c r="B69">
        <f t="shared" si="0"/>
        <v>300000</v>
      </c>
      <c r="C69" s="13">
        <f t="shared" si="1"/>
        <v>550000</v>
      </c>
      <c r="G69" s="33">
        <v>7466.2312692648093</v>
      </c>
      <c r="H69" s="13">
        <f t="shared" si="2"/>
        <v>300000</v>
      </c>
      <c r="I69" s="13">
        <f t="shared" si="3"/>
        <v>22636.188848536636</v>
      </c>
    </row>
    <row r="70" spans="1:9" x14ac:dyDescent="0.25">
      <c r="A70" s="33">
        <v>12576.189458906827</v>
      </c>
      <c r="B70">
        <f t="shared" si="0"/>
        <v>300000</v>
      </c>
      <c r="C70" s="13">
        <f t="shared" si="1"/>
        <v>380333.26212347788</v>
      </c>
      <c r="G70" s="33">
        <v>3576.189458906827</v>
      </c>
      <c r="H70" s="13">
        <f t="shared" si="2"/>
        <v>178809.47294534135</v>
      </c>
      <c r="I70" s="13">
        <f t="shared" si="3"/>
        <v>-249666.73787652212</v>
      </c>
    </row>
    <row r="71" spans="1:9" x14ac:dyDescent="0.25">
      <c r="A71" s="33">
        <v>13012.451551866207</v>
      </c>
      <c r="B71">
        <f t="shared" si="0"/>
        <v>300000</v>
      </c>
      <c r="C71" s="13">
        <f t="shared" si="1"/>
        <v>410871.6086306345</v>
      </c>
      <c r="G71" s="33">
        <v>4012.451551866207</v>
      </c>
      <c r="H71" s="13">
        <f t="shared" si="2"/>
        <v>200622.57759331036</v>
      </c>
      <c r="I71" s="13">
        <f t="shared" si="3"/>
        <v>-219128.3913693655</v>
      </c>
    </row>
    <row r="72" spans="1:9" x14ac:dyDescent="0.25">
      <c r="A72" s="33">
        <v>15744.315927610096</v>
      </c>
      <c r="B72">
        <f t="shared" si="0"/>
        <v>300000</v>
      </c>
      <c r="C72" s="13">
        <f t="shared" si="1"/>
        <v>550000</v>
      </c>
      <c r="G72" s="33">
        <v>6744.315927610096</v>
      </c>
      <c r="H72" s="13">
        <f t="shared" si="2"/>
        <v>300000</v>
      </c>
      <c r="I72" s="13">
        <f t="shared" si="3"/>
        <v>-27897.885067293304</v>
      </c>
    </row>
    <row r="73" spans="1:9" x14ac:dyDescent="0.25">
      <c r="A73" s="33">
        <v>16909.054841761528</v>
      </c>
      <c r="B73">
        <f t="shared" si="0"/>
        <v>300000</v>
      </c>
      <c r="C73" s="13">
        <f t="shared" si="1"/>
        <v>550000</v>
      </c>
      <c r="G73" s="33">
        <v>7909.0548417615282</v>
      </c>
      <c r="H73" s="13">
        <f t="shared" si="2"/>
        <v>300000</v>
      </c>
      <c r="I73" s="13">
        <f t="shared" si="3"/>
        <v>53633.838923307019</v>
      </c>
    </row>
    <row r="74" spans="1:9" x14ac:dyDescent="0.25">
      <c r="A74" s="33">
        <v>13388.897366252631</v>
      </c>
      <c r="B74">
        <f t="shared" si="0"/>
        <v>300000</v>
      </c>
      <c r="C74" s="13">
        <f t="shared" si="1"/>
        <v>437222.81563768419</v>
      </c>
      <c r="G74" s="33">
        <v>4388.8973662526323</v>
      </c>
      <c r="H74" s="13">
        <f t="shared" si="2"/>
        <v>219444.86831263162</v>
      </c>
      <c r="I74" s="13">
        <f t="shared" si="3"/>
        <v>-192777.18436231575</v>
      </c>
    </row>
    <row r="75" spans="1:9" x14ac:dyDescent="0.25">
      <c r="A75" s="33">
        <v>12364.085818048647</v>
      </c>
      <c r="B75">
        <f t="shared" ref="B75:B138" si="4">MIN(A75,6000)*50</f>
        <v>300000</v>
      </c>
      <c r="C75" s="13">
        <f t="shared" ref="C75:C138" si="5">MIN(A75,$C$3)*$C$6-500000</f>
        <v>365486.00726340525</v>
      </c>
      <c r="G75" s="33">
        <v>3364.0858180486466</v>
      </c>
      <c r="H75" s="13">
        <f t="shared" ref="H75:H138" si="6">MIN(G75,6000)*50</f>
        <v>168204.29090243235</v>
      </c>
      <c r="I75" s="13">
        <f t="shared" ref="I75:I138" si="7">MIN(G75,15000)*70-500000</f>
        <v>-264513.99273659475</v>
      </c>
    </row>
    <row r="76" spans="1:9" x14ac:dyDescent="0.25">
      <c r="A76" s="33">
        <v>12681.325724051638</v>
      </c>
      <c r="B76">
        <f t="shared" si="4"/>
        <v>300000</v>
      </c>
      <c r="C76" s="13">
        <f t="shared" si="5"/>
        <v>387692.80068361468</v>
      </c>
      <c r="G76" s="33">
        <v>3681.3257240516373</v>
      </c>
      <c r="H76" s="13">
        <f t="shared" si="6"/>
        <v>184066.28620258186</v>
      </c>
      <c r="I76" s="13">
        <f t="shared" si="7"/>
        <v>-242307.19931638538</v>
      </c>
    </row>
    <row r="77" spans="1:9" x14ac:dyDescent="0.25">
      <c r="A77" s="33">
        <v>15037.354655598621</v>
      </c>
      <c r="B77">
        <f t="shared" si="4"/>
        <v>300000</v>
      </c>
      <c r="C77" s="13">
        <f t="shared" si="5"/>
        <v>550000</v>
      </c>
      <c r="G77" s="33">
        <v>6037.3546555986213</v>
      </c>
      <c r="H77" s="13">
        <f t="shared" si="6"/>
        <v>300000</v>
      </c>
      <c r="I77" s="13">
        <f t="shared" si="7"/>
        <v>-77385.174108096515</v>
      </c>
    </row>
    <row r="78" spans="1:9" x14ac:dyDescent="0.25">
      <c r="A78" s="33">
        <v>15436.536759544664</v>
      </c>
      <c r="B78">
        <f t="shared" si="4"/>
        <v>300000</v>
      </c>
      <c r="C78" s="13">
        <f t="shared" si="5"/>
        <v>550000</v>
      </c>
      <c r="G78" s="33">
        <v>6436.5367595446642</v>
      </c>
      <c r="H78" s="13">
        <f t="shared" si="6"/>
        <v>300000</v>
      </c>
      <c r="I78" s="13">
        <f t="shared" si="7"/>
        <v>-49442.426831873483</v>
      </c>
    </row>
    <row r="79" spans="1:9" x14ac:dyDescent="0.25">
      <c r="A79" s="33">
        <v>12167.394024475845</v>
      </c>
      <c r="B79">
        <f t="shared" si="4"/>
        <v>300000</v>
      </c>
      <c r="C79" s="13">
        <f t="shared" si="5"/>
        <v>351717.58171330916</v>
      </c>
      <c r="G79" s="33">
        <v>3167.3940244758446</v>
      </c>
      <c r="H79" s="13">
        <f t="shared" si="6"/>
        <v>158369.70122379222</v>
      </c>
      <c r="I79" s="13">
        <f t="shared" si="7"/>
        <v>-278282.41828669084</v>
      </c>
    </row>
    <row r="80" spans="1:9" x14ac:dyDescent="0.25">
      <c r="A80" s="33">
        <v>14699.667348246712</v>
      </c>
      <c r="B80">
        <f t="shared" si="4"/>
        <v>300000</v>
      </c>
      <c r="C80" s="13">
        <f t="shared" si="5"/>
        <v>528976.71437726985</v>
      </c>
      <c r="G80" s="33">
        <v>5699.6673482467113</v>
      </c>
      <c r="H80" s="13">
        <f t="shared" si="6"/>
        <v>284983.36741233559</v>
      </c>
      <c r="I80" s="13">
        <f t="shared" si="7"/>
        <v>-101023.28562273021</v>
      </c>
    </row>
    <row r="81" spans="1:9" x14ac:dyDescent="0.25">
      <c r="A81" s="33">
        <v>16894.55854976043</v>
      </c>
      <c r="B81">
        <f t="shared" si="4"/>
        <v>300000</v>
      </c>
      <c r="C81" s="13">
        <f t="shared" si="5"/>
        <v>550000</v>
      </c>
      <c r="G81" s="33">
        <v>7894.5585497604297</v>
      </c>
      <c r="H81" s="13">
        <f t="shared" si="6"/>
        <v>300000</v>
      </c>
      <c r="I81" s="13">
        <f t="shared" si="7"/>
        <v>52619.098483230104</v>
      </c>
    </row>
    <row r="82" spans="1:9" x14ac:dyDescent="0.25">
      <c r="A82" s="33">
        <v>14536.851100192267</v>
      </c>
      <c r="B82">
        <f t="shared" si="4"/>
        <v>300000</v>
      </c>
      <c r="C82" s="13">
        <f t="shared" si="5"/>
        <v>517579.57701345871</v>
      </c>
      <c r="G82" s="33">
        <v>5536.851100192267</v>
      </c>
      <c r="H82" s="13">
        <f t="shared" si="6"/>
        <v>276842.55500961334</v>
      </c>
      <c r="I82" s="13">
        <f t="shared" si="7"/>
        <v>-112420.42298654129</v>
      </c>
    </row>
    <row r="83" spans="1:9" x14ac:dyDescent="0.25">
      <c r="A83" s="33">
        <v>15626.667073580127</v>
      </c>
      <c r="B83">
        <f t="shared" si="4"/>
        <v>300000</v>
      </c>
      <c r="C83" s="13">
        <f t="shared" si="5"/>
        <v>550000</v>
      </c>
      <c r="G83" s="33">
        <v>6626.6670735801272</v>
      </c>
      <c r="H83" s="13">
        <f t="shared" si="6"/>
        <v>300000</v>
      </c>
      <c r="I83" s="13">
        <f t="shared" si="7"/>
        <v>-36133.304849391105</v>
      </c>
    </row>
    <row r="84" spans="1:9" x14ac:dyDescent="0.25">
      <c r="A84" s="33">
        <v>12716.727195043793</v>
      </c>
      <c r="B84">
        <f t="shared" si="4"/>
        <v>300000</v>
      </c>
      <c r="C84" s="13">
        <f t="shared" si="5"/>
        <v>390170.90365306556</v>
      </c>
      <c r="G84" s="33">
        <v>3716.7271950437939</v>
      </c>
      <c r="H84" s="13">
        <f t="shared" si="6"/>
        <v>185836.35975218969</v>
      </c>
      <c r="I84" s="13">
        <f t="shared" si="7"/>
        <v>-239829.09634693441</v>
      </c>
    </row>
    <row r="85" spans="1:9" x14ac:dyDescent="0.25">
      <c r="A85" s="33">
        <v>15638.569292275766</v>
      </c>
      <c r="B85">
        <f t="shared" si="4"/>
        <v>300000</v>
      </c>
      <c r="C85" s="13">
        <f t="shared" si="5"/>
        <v>550000</v>
      </c>
      <c r="G85" s="33">
        <v>6638.5692922757653</v>
      </c>
      <c r="H85" s="13">
        <f t="shared" si="6"/>
        <v>300000</v>
      </c>
      <c r="I85" s="13">
        <f t="shared" si="7"/>
        <v>-35300.14954069641</v>
      </c>
    </row>
    <row r="86" spans="1:9" x14ac:dyDescent="0.25">
      <c r="A86" s="33">
        <v>15984.038819544054</v>
      </c>
      <c r="B86">
        <f t="shared" si="4"/>
        <v>300000</v>
      </c>
      <c r="C86" s="13">
        <f t="shared" si="5"/>
        <v>550000</v>
      </c>
      <c r="G86" s="33">
        <v>6984.0388195440537</v>
      </c>
      <c r="H86" s="13">
        <f t="shared" si="6"/>
        <v>300000</v>
      </c>
      <c r="I86" s="13">
        <f t="shared" si="7"/>
        <v>-11117.282631916227</v>
      </c>
    </row>
    <row r="87" spans="1:9" x14ac:dyDescent="0.25">
      <c r="A87" s="33">
        <v>15053.834650715658</v>
      </c>
      <c r="B87">
        <f t="shared" si="4"/>
        <v>300000</v>
      </c>
      <c r="C87" s="13">
        <f t="shared" si="5"/>
        <v>550000</v>
      </c>
      <c r="G87" s="33">
        <v>6053.8346507156584</v>
      </c>
      <c r="H87" s="13">
        <f t="shared" si="6"/>
        <v>300000</v>
      </c>
      <c r="I87" s="13">
        <f t="shared" si="7"/>
        <v>-76231.574449903914</v>
      </c>
    </row>
    <row r="88" spans="1:9" x14ac:dyDescent="0.25">
      <c r="A88" s="33">
        <v>12708.334604937894</v>
      </c>
      <c r="B88">
        <f t="shared" si="4"/>
        <v>300000</v>
      </c>
      <c r="C88" s="13">
        <f t="shared" si="5"/>
        <v>389583.42234565259</v>
      </c>
      <c r="G88" s="33">
        <v>3708.3346049378947</v>
      </c>
      <c r="H88" s="13">
        <f t="shared" si="6"/>
        <v>185416.73024689473</v>
      </c>
      <c r="I88" s="13">
        <f t="shared" si="7"/>
        <v>-240416.57765434738</v>
      </c>
    </row>
    <row r="89" spans="1:9" x14ac:dyDescent="0.25">
      <c r="A89" s="33">
        <v>12103.61033967101</v>
      </c>
      <c r="B89">
        <f t="shared" si="4"/>
        <v>300000</v>
      </c>
      <c r="C89" s="13">
        <f t="shared" si="5"/>
        <v>347252.72377697064</v>
      </c>
      <c r="G89" s="33">
        <v>3103.6103396710105</v>
      </c>
      <c r="H89" s="13">
        <f t="shared" si="6"/>
        <v>155180.51698355054</v>
      </c>
      <c r="I89" s="13">
        <f t="shared" si="7"/>
        <v>-282747.27622302924</v>
      </c>
    </row>
    <row r="90" spans="1:9" x14ac:dyDescent="0.25">
      <c r="A90" s="33">
        <v>13488.387707144382</v>
      </c>
      <c r="B90">
        <f t="shared" si="4"/>
        <v>300000</v>
      </c>
      <c r="C90" s="13">
        <f t="shared" si="5"/>
        <v>444187.1395001068</v>
      </c>
      <c r="G90" s="33">
        <v>4488.3877071443831</v>
      </c>
      <c r="H90" s="13">
        <f t="shared" si="6"/>
        <v>224419.38535721914</v>
      </c>
      <c r="I90" s="13">
        <f t="shared" si="7"/>
        <v>-185812.8604998932</v>
      </c>
    </row>
    <row r="91" spans="1:9" x14ac:dyDescent="0.25">
      <c r="A91" s="33">
        <v>13178.472243415632</v>
      </c>
      <c r="B91">
        <f t="shared" si="4"/>
        <v>300000</v>
      </c>
      <c r="C91" s="13">
        <f t="shared" si="5"/>
        <v>422493.05703909427</v>
      </c>
      <c r="G91" s="33">
        <v>4178.472243415632</v>
      </c>
      <c r="H91" s="13">
        <f t="shared" si="6"/>
        <v>208923.61217078159</v>
      </c>
      <c r="I91" s="13">
        <f t="shared" si="7"/>
        <v>-207506.94296090578</v>
      </c>
    </row>
    <row r="92" spans="1:9" x14ac:dyDescent="0.25">
      <c r="A92" s="33">
        <v>12406.353953672902</v>
      </c>
      <c r="B92">
        <f t="shared" si="4"/>
        <v>300000</v>
      </c>
      <c r="C92" s="13">
        <f t="shared" si="5"/>
        <v>368444.77675710316</v>
      </c>
      <c r="G92" s="33">
        <v>3406.3539536729027</v>
      </c>
      <c r="H92" s="13">
        <f t="shared" si="6"/>
        <v>170317.69768364512</v>
      </c>
      <c r="I92" s="13">
        <f t="shared" si="7"/>
        <v>-261555.22324289681</v>
      </c>
    </row>
    <row r="93" spans="1:9" x14ac:dyDescent="0.25">
      <c r="A93" s="33">
        <v>12833.765678884243</v>
      </c>
      <c r="B93">
        <f t="shared" si="4"/>
        <v>300000</v>
      </c>
      <c r="C93" s="13">
        <f t="shared" si="5"/>
        <v>398363.59752189706</v>
      </c>
      <c r="G93" s="33">
        <v>3833.7656788842432</v>
      </c>
      <c r="H93" s="13">
        <f t="shared" si="6"/>
        <v>191688.28394421216</v>
      </c>
      <c r="I93" s="13">
        <f t="shared" si="7"/>
        <v>-231636.40247810294</v>
      </c>
    </row>
    <row r="94" spans="1:9" x14ac:dyDescent="0.25">
      <c r="A94" s="33">
        <v>15702.20038453322</v>
      </c>
      <c r="B94">
        <f t="shared" si="4"/>
        <v>300000</v>
      </c>
      <c r="C94" s="13">
        <f t="shared" si="5"/>
        <v>550000</v>
      </c>
      <c r="G94" s="33">
        <v>6702.2003845332201</v>
      </c>
      <c r="H94" s="13">
        <f t="shared" si="6"/>
        <v>300000</v>
      </c>
      <c r="I94" s="13">
        <f t="shared" si="7"/>
        <v>-30845.973082674609</v>
      </c>
    </row>
    <row r="95" spans="1:9" x14ac:dyDescent="0.25">
      <c r="A95" s="33">
        <v>16693.441572313608</v>
      </c>
      <c r="B95">
        <f t="shared" si="4"/>
        <v>300000</v>
      </c>
      <c r="C95" s="13">
        <f t="shared" si="5"/>
        <v>550000</v>
      </c>
      <c r="G95" s="33">
        <v>7693.441572313608</v>
      </c>
      <c r="H95" s="13">
        <f t="shared" si="6"/>
        <v>300000</v>
      </c>
      <c r="I95" s="13">
        <f t="shared" si="7"/>
        <v>38540.910061952542</v>
      </c>
    </row>
    <row r="96" spans="1:9" x14ac:dyDescent="0.25">
      <c r="A96" s="33">
        <v>16286.477248451185</v>
      </c>
      <c r="B96">
        <f t="shared" si="4"/>
        <v>300000</v>
      </c>
      <c r="C96" s="13">
        <f t="shared" si="5"/>
        <v>550000</v>
      </c>
      <c r="G96" s="33">
        <v>7286.477248451185</v>
      </c>
      <c r="H96" s="13">
        <f t="shared" si="6"/>
        <v>300000</v>
      </c>
      <c r="I96" s="13">
        <f t="shared" si="7"/>
        <v>10053.407391582965</v>
      </c>
    </row>
    <row r="97" spans="1:9" x14ac:dyDescent="0.25">
      <c r="A97" s="33">
        <v>13242.103335673086</v>
      </c>
      <c r="B97">
        <f t="shared" si="4"/>
        <v>300000</v>
      </c>
      <c r="C97" s="13">
        <f t="shared" si="5"/>
        <v>426947.23349711602</v>
      </c>
      <c r="G97" s="33">
        <v>4242.1033356730859</v>
      </c>
      <c r="H97" s="13">
        <f t="shared" si="6"/>
        <v>212105.16678365431</v>
      </c>
      <c r="I97" s="13">
        <f t="shared" si="7"/>
        <v>-203052.76650288398</v>
      </c>
    </row>
    <row r="98" spans="1:9" x14ac:dyDescent="0.25">
      <c r="A98" s="33">
        <v>12365.001373332927</v>
      </c>
      <c r="B98">
        <f t="shared" si="4"/>
        <v>300000</v>
      </c>
      <c r="C98" s="13">
        <f t="shared" si="5"/>
        <v>365550.09613330488</v>
      </c>
      <c r="G98" s="33">
        <v>3365.0013733329265</v>
      </c>
      <c r="H98" s="13">
        <f t="shared" si="6"/>
        <v>168250.06866664632</v>
      </c>
      <c r="I98" s="13">
        <f t="shared" si="7"/>
        <v>-264449.90386669512</v>
      </c>
    </row>
    <row r="99" spans="1:9" x14ac:dyDescent="0.25">
      <c r="A99" s="33">
        <v>15941.923276467178</v>
      </c>
      <c r="B99">
        <f t="shared" si="4"/>
        <v>300000</v>
      </c>
      <c r="C99" s="13">
        <f t="shared" si="5"/>
        <v>550000</v>
      </c>
      <c r="G99" s="33">
        <v>6941.9232764671779</v>
      </c>
      <c r="H99" s="13">
        <f t="shared" si="6"/>
        <v>300000</v>
      </c>
      <c r="I99" s="13">
        <f t="shared" si="7"/>
        <v>-14065.370647297532</v>
      </c>
    </row>
    <row r="100" spans="1:9" x14ac:dyDescent="0.25">
      <c r="A100" s="33">
        <v>12129.093295083469</v>
      </c>
      <c r="B100">
        <f t="shared" si="4"/>
        <v>300000</v>
      </c>
      <c r="C100" s="13">
        <f t="shared" si="5"/>
        <v>349036.53065584274</v>
      </c>
      <c r="G100" s="33">
        <v>3129.0932950834681</v>
      </c>
      <c r="H100" s="13">
        <f t="shared" si="6"/>
        <v>156454.6647541734</v>
      </c>
      <c r="I100" s="13">
        <f t="shared" si="7"/>
        <v>-280963.46934415726</v>
      </c>
    </row>
    <row r="101" spans="1:9" x14ac:dyDescent="0.25">
      <c r="A101" s="33">
        <v>16053.926206244087</v>
      </c>
      <c r="B101">
        <f t="shared" si="4"/>
        <v>300000</v>
      </c>
      <c r="C101" s="13">
        <f t="shared" si="5"/>
        <v>550000</v>
      </c>
      <c r="G101" s="33">
        <v>7053.9262062440866</v>
      </c>
      <c r="H101" s="13">
        <f t="shared" si="6"/>
        <v>300000</v>
      </c>
      <c r="I101" s="13">
        <f t="shared" si="7"/>
        <v>-6225.1655629139277</v>
      </c>
    </row>
    <row r="102" spans="1:9" x14ac:dyDescent="0.25">
      <c r="A102" s="33">
        <v>14600.482192449721</v>
      </c>
      <c r="B102">
        <f t="shared" si="4"/>
        <v>300000</v>
      </c>
      <c r="C102" s="13">
        <f t="shared" si="5"/>
        <v>522033.75347148045</v>
      </c>
      <c r="G102" s="33">
        <v>5600.482192449721</v>
      </c>
      <c r="H102" s="13">
        <f t="shared" si="6"/>
        <v>280024.10962248605</v>
      </c>
      <c r="I102" s="13">
        <f t="shared" si="7"/>
        <v>-107966.24652851955</v>
      </c>
    </row>
    <row r="103" spans="1:9" x14ac:dyDescent="0.25">
      <c r="A103" s="33">
        <v>12155.186620685447</v>
      </c>
      <c r="B103">
        <f t="shared" si="4"/>
        <v>300000</v>
      </c>
      <c r="C103" s="13">
        <f t="shared" si="5"/>
        <v>350863.06344798126</v>
      </c>
      <c r="G103" s="33">
        <v>3155.1866206854456</v>
      </c>
      <c r="H103" s="13">
        <f t="shared" si="6"/>
        <v>157759.33103427227</v>
      </c>
      <c r="I103" s="13">
        <f t="shared" si="7"/>
        <v>-279136.9365520188</v>
      </c>
    </row>
    <row r="104" spans="1:9" x14ac:dyDescent="0.25">
      <c r="A104" s="33">
        <v>14933.89690847499</v>
      </c>
      <c r="B104">
        <f t="shared" si="4"/>
        <v>300000</v>
      </c>
      <c r="C104" s="13">
        <f t="shared" si="5"/>
        <v>545372.78359324927</v>
      </c>
      <c r="G104" s="33">
        <v>5933.8969084749897</v>
      </c>
      <c r="H104" s="13">
        <f t="shared" si="6"/>
        <v>296694.84542374947</v>
      </c>
      <c r="I104" s="13">
        <f t="shared" si="7"/>
        <v>-84627.216406750726</v>
      </c>
    </row>
    <row r="105" spans="1:9" x14ac:dyDescent="0.25">
      <c r="A105" s="33">
        <v>12688.802758873257</v>
      </c>
      <c r="B105">
        <f t="shared" si="4"/>
        <v>300000</v>
      </c>
      <c r="C105" s="13">
        <f t="shared" si="5"/>
        <v>388216.19312112802</v>
      </c>
      <c r="G105" s="33">
        <v>3688.8027588732566</v>
      </c>
      <c r="H105" s="13">
        <f t="shared" si="6"/>
        <v>184440.13794366282</v>
      </c>
      <c r="I105" s="13">
        <f t="shared" si="7"/>
        <v>-241783.80687887204</v>
      </c>
    </row>
    <row r="106" spans="1:9" x14ac:dyDescent="0.25">
      <c r="A106" s="33">
        <v>16393.597216711936</v>
      </c>
      <c r="B106">
        <f t="shared" si="4"/>
        <v>300000</v>
      </c>
      <c r="C106" s="13">
        <f t="shared" si="5"/>
        <v>550000</v>
      </c>
      <c r="G106" s="33">
        <v>7393.5972167119362</v>
      </c>
      <c r="H106" s="13">
        <f t="shared" si="6"/>
        <v>300000</v>
      </c>
      <c r="I106" s="13">
        <f t="shared" si="7"/>
        <v>17551.805169835512</v>
      </c>
    </row>
    <row r="107" spans="1:9" x14ac:dyDescent="0.25">
      <c r="A107" s="33">
        <v>16145.329142124698</v>
      </c>
      <c r="B107">
        <f t="shared" si="4"/>
        <v>300000</v>
      </c>
      <c r="C107" s="13">
        <f t="shared" si="5"/>
        <v>550000</v>
      </c>
      <c r="G107" s="33">
        <v>7145.3291421246986</v>
      </c>
      <c r="H107" s="13">
        <f t="shared" si="6"/>
        <v>300000</v>
      </c>
      <c r="I107" s="13">
        <f t="shared" si="7"/>
        <v>173.03994872892508</v>
      </c>
    </row>
    <row r="108" spans="1:9" x14ac:dyDescent="0.25">
      <c r="A108" s="33">
        <v>16468.214972380749</v>
      </c>
      <c r="B108">
        <f t="shared" si="4"/>
        <v>300000</v>
      </c>
      <c r="C108" s="13">
        <f t="shared" si="5"/>
        <v>550000</v>
      </c>
      <c r="G108" s="33">
        <v>7468.2149723807488</v>
      </c>
      <c r="H108" s="13">
        <f t="shared" si="6"/>
        <v>300000</v>
      </c>
      <c r="I108" s="13">
        <f t="shared" si="7"/>
        <v>22775.048066652438</v>
      </c>
    </row>
    <row r="109" spans="1:9" x14ac:dyDescent="0.25">
      <c r="A109" s="33">
        <v>12739.768669698173</v>
      </c>
      <c r="B109">
        <f t="shared" si="4"/>
        <v>300000</v>
      </c>
      <c r="C109" s="13">
        <f t="shared" si="5"/>
        <v>391783.8068788721</v>
      </c>
      <c r="G109" s="33">
        <v>3739.7686696981718</v>
      </c>
      <c r="H109" s="13">
        <f t="shared" si="6"/>
        <v>186988.4334849086</v>
      </c>
      <c r="I109" s="13">
        <f t="shared" si="7"/>
        <v>-238216.19312112796</v>
      </c>
    </row>
    <row r="110" spans="1:9" x14ac:dyDescent="0.25">
      <c r="A110" s="33">
        <v>16781.029694509722</v>
      </c>
      <c r="B110">
        <f t="shared" si="4"/>
        <v>300000</v>
      </c>
      <c r="C110" s="13">
        <f t="shared" si="5"/>
        <v>550000</v>
      </c>
      <c r="G110" s="33">
        <v>7781.0296945097207</v>
      </c>
      <c r="H110" s="13">
        <f t="shared" si="6"/>
        <v>300000</v>
      </c>
      <c r="I110" s="13">
        <f t="shared" si="7"/>
        <v>44672.078615680453</v>
      </c>
    </row>
    <row r="111" spans="1:9" x14ac:dyDescent="0.25">
      <c r="A111" s="33">
        <v>14856.227301858577</v>
      </c>
      <c r="B111">
        <f t="shared" si="4"/>
        <v>300000</v>
      </c>
      <c r="C111" s="13">
        <f t="shared" si="5"/>
        <v>539935.91113010037</v>
      </c>
      <c r="G111" s="33">
        <v>5856.2273018585765</v>
      </c>
      <c r="H111" s="13">
        <f t="shared" si="6"/>
        <v>292811.36509292881</v>
      </c>
      <c r="I111" s="13">
        <f t="shared" si="7"/>
        <v>-90064.088869899628</v>
      </c>
    </row>
    <row r="112" spans="1:9" x14ac:dyDescent="0.25">
      <c r="A112" s="33">
        <v>16232.459486678672</v>
      </c>
      <c r="B112">
        <f t="shared" si="4"/>
        <v>300000</v>
      </c>
      <c r="C112" s="13">
        <f t="shared" si="5"/>
        <v>550000</v>
      </c>
      <c r="G112" s="33">
        <v>7232.4594866786711</v>
      </c>
      <c r="H112" s="13">
        <f t="shared" si="6"/>
        <v>300000</v>
      </c>
      <c r="I112" s="13">
        <f t="shared" si="7"/>
        <v>6272.1640675069648</v>
      </c>
    </row>
    <row r="113" spans="1:9" x14ac:dyDescent="0.25">
      <c r="A113" s="33">
        <v>14202.368236335336</v>
      </c>
      <c r="B113">
        <f t="shared" si="4"/>
        <v>300000</v>
      </c>
      <c r="C113" s="13">
        <f t="shared" si="5"/>
        <v>494165.77654347359</v>
      </c>
      <c r="G113" s="33">
        <v>5202.3682363353373</v>
      </c>
      <c r="H113" s="13">
        <f t="shared" si="6"/>
        <v>260118.41181676686</v>
      </c>
      <c r="I113" s="13">
        <f t="shared" si="7"/>
        <v>-135834.22345652641</v>
      </c>
    </row>
    <row r="114" spans="1:9" x14ac:dyDescent="0.25">
      <c r="A114" s="33">
        <v>14786.339915158544</v>
      </c>
      <c r="B114">
        <f t="shared" si="4"/>
        <v>300000</v>
      </c>
      <c r="C114" s="13">
        <f t="shared" si="5"/>
        <v>535043.79406109801</v>
      </c>
      <c r="G114" s="33">
        <v>5786.3399151585436</v>
      </c>
      <c r="H114" s="13">
        <f t="shared" si="6"/>
        <v>289316.99575792719</v>
      </c>
      <c r="I114" s="13">
        <f t="shared" si="7"/>
        <v>-94956.205938901927</v>
      </c>
    </row>
    <row r="115" spans="1:9" x14ac:dyDescent="0.25">
      <c r="A115" s="33">
        <v>14687.459944456314</v>
      </c>
      <c r="B115">
        <f t="shared" si="4"/>
        <v>300000</v>
      </c>
      <c r="C115" s="13">
        <f t="shared" si="5"/>
        <v>528122.19611194194</v>
      </c>
      <c r="G115" s="33">
        <v>5687.4599444563128</v>
      </c>
      <c r="H115" s="13">
        <f t="shared" si="6"/>
        <v>284372.99722281564</v>
      </c>
      <c r="I115" s="13">
        <f t="shared" si="7"/>
        <v>-101877.80388805812</v>
      </c>
    </row>
    <row r="116" spans="1:9" x14ac:dyDescent="0.25">
      <c r="A116" s="33">
        <v>12121.921445356609</v>
      </c>
      <c r="B116">
        <f t="shared" si="4"/>
        <v>300000</v>
      </c>
      <c r="C116" s="13">
        <f t="shared" si="5"/>
        <v>348534.50117496261</v>
      </c>
      <c r="G116" s="33">
        <v>3121.9214453566087</v>
      </c>
      <c r="H116" s="13">
        <f t="shared" si="6"/>
        <v>156096.07226783043</v>
      </c>
      <c r="I116" s="13">
        <f t="shared" si="7"/>
        <v>-281465.49882503739</v>
      </c>
    </row>
    <row r="117" spans="1:9" x14ac:dyDescent="0.25">
      <c r="A117" s="33">
        <v>14613.29996642964</v>
      </c>
      <c r="B117">
        <f t="shared" si="4"/>
        <v>300000</v>
      </c>
      <c r="C117" s="13">
        <f t="shared" si="5"/>
        <v>522930.99765007477</v>
      </c>
      <c r="G117" s="33">
        <v>5613.2999664296403</v>
      </c>
      <c r="H117" s="13">
        <f t="shared" si="6"/>
        <v>280664.99832148204</v>
      </c>
      <c r="I117" s="13">
        <f t="shared" si="7"/>
        <v>-107069.00234992517</v>
      </c>
    </row>
    <row r="118" spans="1:9" x14ac:dyDescent="0.25">
      <c r="A118" s="33">
        <v>16629.505294961393</v>
      </c>
      <c r="B118">
        <f t="shared" si="4"/>
        <v>300000</v>
      </c>
      <c r="C118" s="13">
        <f t="shared" si="5"/>
        <v>550000</v>
      </c>
      <c r="G118" s="33">
        <v>7629.5052949613937</v>
      </c>
      <c r="H118" s="13">
        <f t="shared" si="6"/>
        <v>300000</v>
      </c>
      <c r="I118" s="13">
        <f t="shared" si="7"/>
        <v>34065.37064729759</v>
      </c>
    </row>
    <row r="119" spans="1:9" x14ac:dyDescent="0.25">
      <c r="A119" s="33">
        <v>12986.51081881161</v>
      </c>
      <c r="B119">
        <f t="shared" si="4"/>
        <v>300000</v>
      </c>
      <c r="C119" s="13">
        <f t="shared" si="5"/>
        <v>409055.75731681276</v>
      </c>
      <c r="G119" s="33">
        <v>3986.5108188116092</v>
      </c>
      <c r="H119" s="13">
        <f t="shared" si="6"/>
        <v>199325.54094058045</v>
      </c>
      <c r="I119" s="13">
        <f t="shared" si="7"/>
        <v>-220944.24268318736</v>
      </c>
    </row>
    <row r="120" spans="1:9" x14ac:dyDescent="0.25">
      <c r="A120" s="33">
        <v>16568.163090914641</v>
      </c>
      <c r="B120">
        <f t="shared" si="4"/>
        <v>300000</v>
      </c>
      <c r="C120" s="13">
        <f t="shared" si="5"/>
        <v>550000</v>
      </c>
      <c r="G120" s="33">
        <v>7568.1630909146397</v>
      </c>
      <c r="H120" s="13">
        <f t="shared" si="6"/>
        <v>300000</v>
      </c>
      <c r="I120" s="13">
        <f t="shared" si="7"/>
        <v>29771.416364024743</v>
      </c>
    </row>
    <row r="121" spans="1:9" x14ac:dyDescent="0.25">
      <c r="A121" s="33">
        <v>15753.318887905514</v>
      </c>
      <c r="B121">
        <f t="shared" si="4"/>
        <v>300000</v>
      </c>
      <c r="C121" s="13">
        <f t="shared" si="5"/>
        <v>550000</v>
      </c>
      <c r="G121" s="33">
        <v>6753.3188879055142</v>
      </c>
      <c r="H121" s="13">
        <f t="shared" si="6"/>
        <v>300000</v>
      </c>
      <c r="I121" s="13">
        <f t="shared" si="7"/>
        <v>-27267.67784661398</v>
      </c>
    </row>
    <row r="122" spans="1:9" x14ac:dyDescent="0.25">
      <c r="A122" s="33">
        <v>12244.148075807978</v>
      </c>
      <c r="B122">
        <f t="shared" si="4"/>
        <v>300000</v>
      </c>
      <c r="C122" s="13">
        <f t="shared" si="5"/>
        <v>357090.36530655844</v>
      </c>
      <c r="G122" s="33">
        <v>3244.1480758079774</v>
      </c>
      <c r="H122" s="13">
        <f t="shared" si="6"/>
        <v>162207.40379039888</v>
      </c>
      <c r="I122" s="13">
        <f t="shared" si="7"/>
        <v>-272909.63469344156</v>
      </c>
    </row>
    <row r="123" spans="1:9" x14ac:dyDescent="0.25">
      <c r="A123" s="33">
        <v>16625.690481276895</v>
      </c>
      <c r="B123">
        <f t="shared" si="4"/>
        <v>300000</v>
      </c>
      <c r="C123" s="13">
        <f t="shared" si="5"/>
        <v>550000</v>
      </c>
      <c r="G123" s="33">
        <v>7625.6904812768944</v>
      </c>
      <c r="H123" s="13">
        <f t="shared" si="6"/>
        <v>300000</v>
      </c>
      <c r="I123" s="13">
        <f t="shared" si="7"/>
        <v>33798.333689382649</v>
      </c>
    </row>
    <row r="124" spans="1:9" x14ac:dyDescent="0.25">
      <c r="A124" s="33">
        <v>16438.612018189033</v>
      </c>
      <c r="B124">
        <f t="shared" si="4"/>
        <v>300000</v>
      </c>
      <c r="C124" s="13">
        <f t="shared" si="5"/>
        <v>550000</v>
      </c>
      <c r="G124" s="33">
        <v>7438.6120181890319</v>
      </c>
      <c r="H124" s="13">
        <f t="shared" si="6"/>
        <v>300000</v>
      </c>
      <c r="I124" s="13">
        <f t="shared" si="7"/>
        <v>20702.841273232247</v>
      </c>
    </row>
    <row r="125" spans="1:9" x14ac:dyDescent="0.25">
      <c r="A125" s="33">
        <v>12070.802941984313</v>
      </c>
      <c r="B125">
        <f t="shared" si="4"/>
        <v>300000</v>
      </c>
      <c r="C125" s="13">
        <f t="shared" si="5"/>
        <v>344956.20593890199</v>
      </c>
      <c r="G125" s="33">
        <v>3070.8029419843133</v>
      </c>
      <c r="H125" s="13">
        <f t="shared" si="6"/>
        <v>153540.14709921565</v>
      </c>
      <c r="I125" s="13">
        <f t="shared" si="7"/>
        <v>-285043.79406109807</v>
      </c>
    </row>
    <row r="126" spans="1:9" x14ac:dyDescent="0.25">
      <c r="A126" s="33">
        <v>15631.855220191046</v>
      </c>
      <c r="B126">
        <f t="shared" si="4"/>
        <v>300000</v>
      </c>
      <c r="C126" s="13">
        <f t="shared" si="5"/>
        <v>550000</v>
      </c>
      <c r="G126" s="33">
        <v>6631.8552201910461</v>
      </c>
      <c r="H126" s="13">
        <f t="shared" si="6"/>
        <v>300000</v>
      </c>
      <c r="I126" s="13">
        <f t="shared" si="7"/>
        <v>-35770.13458662678</v>
      </c>
    </row>
    <row r="127" spans="1:9" x14ac:dyDescent="0.25">
      <c r="A127" s="33">
        <v>14061.067537461469</v>
      </c>
      <c r="B127">
        <f t="shared" si="4"/>
        <v>300000</v>
      </c>
      <c r="C127" s="13">
        <f t="shared" si="5"/>
        <v>484274.72762230283</v>
      </c>
      <c r="G127" s="33">
        <v>5061.0675374614702</v>
      </c>
      <c r="H127" s="13">
        <f t="shared" si="6"/>
        <v>253053.37687307352</v>
      </c>
      <c r="I127" s="13">
        <f t="shared" si="7"/>
        <v>-145725.27237769711</v>
      </c>
    </row>
    <row r="128" spans="1:9" x14ac:dyDescent="0.25">
      <c r="A128" s="33">
        <v>12478.835413678396</v>
      </c>
      <c r="B128">
        <f t="shared" si="4"/>
        <v>300000</v>
      </c>
      <c r="C128" s="13">
        <f t="shared" si="5"/>
        <v>373518.47895748774</v>
      </c>
      <c r="G128" s="33">
        <v>3478.835413678396</v>
      </c>
      <c r="H128" s="13">
        <f t="shared" si="6"/>
        <v>173941.77068391981</v>
      </c>
      <c r="I128" s="13">
        <f t="shared" si="7"/>
        <v>-256481.52104251229</v>
      </c>
    </row>
    <row r="129" spans="1:9" x14ac:dyDescent="0.25">
      <c r="A129" s="33">
        <v>15481.704153569139</v>
      </c>
      <c r="B129">
        <f t="shared" si="4"/>
        <v>300000</v>
      </c>
      <c r="C129" s="13">
        <f t="shared" si="5"/>
        <v>550000</v>
      </c>
      <c r="G129" s="33">
        <v>6481.7041535691396</v>
      </c>
      <c r="H129" s="13">
        <f t="shared" si="6"/>
        <v>300000</v>
      </c>
      <c r="I129" s="13">
        <f t="shared" si="7"/>
        <v>-46280.709250160202</v>
      </c>
    </row>
    <row r="130" spans="1:9" x14ac:dyDescent="0.25">
      <c r="A130" s="33">
        <v>16086.123233741264</v>
      </c>
      <c r="B130">
        <f t="shared" si="4"/>
        <v>300000</v>
      </c>
      <c r="C130" s="13">
        <f t="shared" si="5"/>
        <v>550000</v>
      </c>
      <c r="G130" s="33">
        <v>7086.1232337412639</v>
      </c>
      <c r="H130" s="13">
        <f t="shared" si="6"/>
        <v>300000</v>
      </c>
      <c r="I130" s="13">
        <f t="shared" si="7"/>
        <v>-3971.3736381115159</v>
      </c>
    </row>
    <row r="131" spans="1:9" x14ac:dyDescent="0.25">
      <c r="A131" s="33">
        <v>14788.323618274484</v>
      </c>
      <c r="B131">
        <f t="shared" si="4"/>
        <v>300000</v>
      </c>
      <c r="C131" s="13">
        <f t="shared" si="5"/>
        <v>535182.65327921393</v>
      </c>
      <c r="G131" s="33">
        <v>5788.323618274484</v>
      </c>
      <c r="H131" s="13">
        <f t="shared" si="6"/>
        <v>289416.18091372418</v>
      </c>
      <c r="I131" s="13">
        <f t="shared" si="7"/>
        <v>-94817.346720786125</v>
      </c>
    </row>
    <row r="132" spans="1:9" x14ac:dyDescent="0.25">
      <c r="A132" s="33">
        <v>16576.555681020538</v>
      </c>
      <c r="B132">
        <f t="shared" si="4"/>
        <v>300000</v>
      </c>
      <c r="C132" s="13">
        <f t="shared" si="5"/>
        <v>550000</v>
      </c>
      <c r="G132" s="33">
        <v>7576.5556810205389</v>
      </c>
      <c r="H132" s="13">
        <f t="shared" si="6"/>
        <v>300000</v>
      </c>
      <c r="I132" s="13">
        <f t="shared" si="7"/>
        <v>30358.897671437706</v>
      </c>
    </row>
    <row r="133" spans="1:9" x14ac:dyDescent="0.25">
      <c r="A133" s="33">
        <v>16703.665272988066</v>
      </c>
      <c r="B133">
        <f t="shared" si="4"/>
        <v>300000</v>
      </c>
      <c r="C133" s="13">
        <f t="shared" si="5"/>
        <v>550000</v>
      </c>
      <c r="G133" s="33">
        <v>7703.665272988067</v>
      </c>
      <c r="H133" s="13">
        <f t="shared" si="6"/>
        <v>300000</v>
      </c>
      <c r="I133" s="13">
        <f t="shared" si="7"/>
        <v>39256.569109164644</v>
      </c>
    </row>
    <row r="134" spans="1:9" x14ac:dyDescent="0.25">
      <c r="A134" s="33">
        <v>14815.942869350261</v>
      </c>
      <c r="B134">
        <f t="shared" si="4"/>
        <v>300000</v>
      </c>
      <c r="C134" s="13">
        <f t="shared" si="5"/>
        <v>537116.00085451826</v>
      </c>
      <c r="G134" s="33">
        <v>5815.9428693502614</v>
      </c>
      <c r="H134" s="13">
        <f t="shared" si="6"/>
        <v>290797.14346751309</v>
      </c>
      <c r="I134" s="13">
        <f t="shared" si="7"/>
        <v>-92883.999145481677</v>
      </c>
    </row>
    <row r="135" spans="1:9" x14ac:dyDescent="0.25">
      <c r="A135" s="33">
        <v>12594.195379497665</v>
      </c>
      <c r="B135">
        <f t="shared" si="4"/>
        <v>300000</v>
      </c>
      <c r="C135" s="13">
        <f t="shared" si="5"/>
        <v>381593.67656483653</v>
      </c>
      <c r="G135" s="33">
        <v>3594.1953794976653</v>
      </c>
      <c r="H135" s="13">
        <f t="shared" si="6"/>
        <v>179709.76897488325</v>
      </c>
      <c r="I135" s="13">
        <f t="shared" si="7"/>
        <v>-248406.32343516342</v>
      </c>
    </row>
    <row r="136" spans="1:9" x14ac:dyDescent="0.25">
      <c r="A136" s="33">
        <v>12627.613147373882</v>
      </c>
      <c r="B136">
        <f t="shared" si="4"/>
        <v>300000</v>
      </c>
      <c r="C136" s="13">
        <f t="shared" si="5"/>
        <v>383932.92031617172</v>
      </c>
      <c r="G136" s="33">
        <v>3627.6131473738824</v>
      </c>
      <c r="H136" s="13">
        <f t="shared" si="6"/>
        <v>181380.65736869411</v>
      </c>
      <c r="I136" s="13">
        <f t="shared" si="7"/>
        <v>-246067.07968382823</v>
      </c>
    </row>
    <row r="137" spans="1:9" x14ac:dyDescent="0.25">
      <c r="A137" s="33">
        <v>15778.496658223212</v>
      </c>
      <c r="B137">
        <f t="shared" si="4"/>
        <v>300000</v>
      </c>
      <c r="C137" s="13">
        <f t="shared" si="5"/>
        <v>550000</v>
      </c>
      <c r="G137" s="33">
        <v>6778.4966582232119</v>
      </c>
      <c r="H137" s="13">
        <f t="shared" si="6"/>
        <v>300000</v>
      </c>
      <c r="I137" s="13">
        <f t="shared" si="7"/>
        <v>-25505.233924375148</v>
      </c>
    </row>
    <row r="138" spans="1:9" x14ac:dyDescent="0.25">
      <c r="A138" s="33">
        <v>14002.319406720177</v>
      </c>
      <c r="B138">
        <f t="shared" si="4"/>
        <v>300000</v>
      </c>
      <c r="C138" s="13">
        <f t="shared" si="5"/>
        <v>480162.35847041232</v>
      </c>
      <c r="G138" s="33">
        <v>5002.3194067201757</v>
      </c>
      <c r="H138" s="13">
        <f t="shared" si="6"/>
        <v>250115.97033600879</v>
      </c>
      <c r="I138" s="13">
        <f t="shared" si="7"/>
        <v>-149837.64152958768</v>
      </c>
    </row>
    <row r="139" spans="1:9" x14ac:dyDescent="0.25">
      <c r="A139" s="33">
        <v>16514.450514236883</v>
      </c>
      <c r="B139">
        <f t="shared" ref="B139:B202" si="8">MIN(A139,6000)*50</f>
        <v>300000</v>
      </c>
      <c r="C139" s="13">
        <f t="shared" ref="C139:C202" si="9">MIN(A139,$C$3)*$C$6-500000</f>
        <v>550000</v>
      </c>
      <c r="G139" s="33">
        <v>7514.4505142368844</v>
      </c>
      <c r="H139" s="13">
        <f t="shared" ref="H139:H202" si="10">MIN(G139,6000)*50</f>
        <v>300000</v>
      </c>
      <c r="I139" s="13">
        <f t="shared" ref="I139:I202" si="11">MIN(G139,15000)*70-500000</f>
        <v>26011.535996581893</v>
      </c>
    </row>
    <row r="140" spans="1:9" x14ac:dyDescent="0.25">
      <c r="A140" s="33">
        <v>14289.651173436689</v>
      </c>
      <c r="B140">
        <f t="shared" si="8"/>
        <v>300000</v>
      </c>
      <c r="C140" s="13">
        <f t="shared" si="9"/>
        <v>500275.58214056818</v>
      </c>
      <c r="G140" s="33">
        <v>5289.6511734366886</v>
      </c>
      <c r="H140" s="13">
        <f t="shared" si="10"/>
        <v>264482.55867183441</v>
      </c>
      <c r="I140" s="13">
        <f t="shared" si="11"/>
        <v>-129724.41785943182</v>
      </c>
    </row>
    <row r="141" spans="1:9" x14ac:dyDescent="0.25">
      <c r="A141" s="33">
        <v>16941.709646900847</v>
      </c>
      <c r="B141">
        <f t="shared" si="8"/>
        <v>300000</v>
      </c>
      <c r="C141" s="13">
        <f t="shared" si="9"/>
        <v>550000</v>
      </c>
      <c r="G141" s="33">
        <v>7941.7096469008457</v>
      </c>
      <c r="H141" s="13">
        <f t="shared" si="10"/>
        <v>300000</v>
      </c>
      <c r="I141" s="13">
        <f t="shared" si="11"/>
        <v>55919.675283059245</v>
      </c>
    </row>
    <row r="142" spans="1:9" x14ac:dyDescent="0.25">
      <c r="A142" s="33">
        <v>12816.980498672445</v>
      </c>
      <c r="B142">
        <f t="shared" si="8"/>
        <v>300000</v>
      </c>
      <c r="C142" s="13">
        <f t="shared" si="9"/>
        <v>397188.63490707113</v>
      </c>
      <c r="G142" s="33">
        <v>3816.9804986724448</v>
      </c>
      <c r="H142" s="13">
        <f t="shared" si="10"/>
        <v>190849.02493362225</v>
      </c>
      <c r="I142" s="13">
        <f t="shared" si="11"/>
        <v>-232811.36509292887</v>
      </c>
    </row>
    <row r="143" spans="1:9" x14ac:dyDescent="0.25">
      <c r="A143" s="33">
        <v>15902.096621601002</v>
      </c>
      <c r="B143">
        <f t="shared" si="8"/>
        <v>300000</v>
      </c>
      <c r="C143" s="13">
        <f t="shared" si="9"/>
        <v>550000</v>
      </c>
      <c r="G143" s="33">
        <v>6902.0966216010011</v>
      </c>
      <c r="H143" s="13">
        <f t="shared" si="10"/>
        <v>300000</v>
      </c>
      <c r="I143" s="13">
        <f t="shared" si="11"/>
        <v>-16853.236487929942</v>
      </c>
    </row>
    <row r="144" spans="1:9" x14ac:dyDescent="0.25">
      <c r="A144" s="33">
        <v>15399.304177983948</v>
      </c>
      <c r="B144">
        <f t="shared" si="8"/>
        <v>300000</v>
      </c>
      <c r="C144" s="13">
        <f t="shared" si="9"/>
        <v>550000</v>
      </c>
      <c r="G144" s="33">
        <v>6399.3041779839477</v>
      </c>
      <c r="H144" s="13">
        <f t="shared" si="10"/>
        <v>300000</v>
      </c>
      <c r="I144" s="13">
        <f t="shared" si="11"/>
        <v>-52048.707541123673</v>
      </c>
    </row>
    <row r="145" spans="1:9" x14ac:dyDescent="0.25">
      <c r="A145" s="33">
        <v>15492.538224433119</v>
      </c>
      <c r="B145">
        <f t="shared" si="8"/>
        <v>300000</v>
      </c>
      <c r="C145" s="13">
        <f t="shared" si="9"/>
        <v>550000</v>
      </c>
      <c r="G145" s="33">
        <v>6492.5382244331195</v>
      </c>
      <c r="H145" s="13">
        <f t="shared" si="10"/>
        <v>300000</v>
      </c>
      <c r="I145" s="13">
        <f t="shared" si="11"/>
        <v>-45522.324289681623</v>
      </c>
    </row>
    <row r="146" spans="1:9" x14ac:dyDescent="0.25">
      <c r="A146" s="33">
        <v>12434.430982390821</v>
      </c>
      <c r="B146">
        <f t="shared" si="8"/>
        <v>300000</v>
      </c>
      <c r="C146" s="13">
        <f t="shared" si="9"/>
        <v>370410.16876735748</v>
      </c>
      <c r="G146" s="33">
        <v>3434.4309823908202</v>
      </c>
      <c r="H146" s="13">
        <f t="shared" si="10"/>
        <v>171721.54911954101</v>
      </c>
      <c r="I146" s="13">
        <f t="shared" si="11"/>
        <v>-259589.83123264258</v>
      </c>
    </row>
    <row r="147" spans="1:9" x14ac:dyDescent="0.25">
      <c r="A147" s="33">
        <v>13515.243995483261</v>
      </c>
      <c r="B147">
        <f t="shared" si="8"/>
        <v>300000</v>
      </c>
      <c r="C147" s="13">
        <f t="shared" si="9"/>
        <v>446067.07968382828</v>
      </c>
      <c r="G147" s="33">
        <v>4515.2439954832607</v>
      </c>
      <c r="H147" s="13">
        <f t="shared" si="10"/>
        <v>225762.19977416305</v>
      </c>
      <c r="I147" s="13">
        <f t="shared" si="11"/>
        <v>-183932.92031617177</v>
      </c>
    </row>
    <row r="148" spans="1:9" x14ac:dyDescent="0.25">
      <c r="A148" s="33">
        <v>16337.29056672872</v>
      </c>
      <c r="B148">
        <f t="shared" si="8"/>
        <v>300000</v>
      </c>
      <c r="C148" s="13">
        <f t="shared" si="9"/>
        <v>550000</v>
      </c>
      <c r="G148" s="33">
        <v>7337.2905667287205</v>
      </c>
      <c r="H148" s="13">
        <f t="shared" si="10"/>
        <v>300000</v>
      </c>
      <c r="I148" s="13">
        <f t="shared" si="11"/>
        <v>13610.339671010443</v>
      </c>
    </row>
    <row r="149" spans="1:9" x14ac:dyDescent="0.25">
      <c r="A149" s="33">
        <v>16823.450422681355</v>
      </c>
      <c r="B149">
        <f t="shared" si="8"/>
        <v>300000</v>
      </c>
      <c r="C149" s="13">
        <f t="shared" si="9"/>
        <v>550000</v>
      </c>
      <c r="G149" s="33">
        <v>7823.450422681356</v>
      </c>
      <c r="H149" s="13">
        <f t="shared" si="10"/>
        <v>300000</v>
      </c>
      <c r="I149" s="13">
        <f t="shared" si="11"/>
        <v>47641.529587694909</v>
      </c>
    </row>
    <row r="150" spans="1:9" x14ac:dyDescent="0.25">
      <c r="A150" s="33">
        <v>14570.574053163244</v>
      </c>
      <c r="B150">
        <f t="shared" si="8"/>
        <v>300000</v>
      </c>
      <c r="C150" s="13">
        <f t="shared" si="9"/>
        <v>519940.18372142711</v>
      </c>
      <c r="G150" s="33">
        <v>5570.5740531632437</v>
      </c>
      <c r="H150" s="13">
        <f t="shared" si="10"/>
        <v>278528.70265816216</v>
      </c>
      <c r="I150" s="13">
        <f t="shared" si="11"/>
        <v>-110059.81627857295</v>
      </c>
    </row>
    <row r="151" spans="1:9" x14ac:dyDescent="0.25">
      <c r="A151" s="33">
        <v>13026.642658772545</v>
      </c>
      <c r="B151">
        <f t="shared" si="8"/>
        <v>300000</v>
      </c>
      <c r="C151" s="13">
        <f t="shared" si="9"/>
        <v>411864.9861140782</v>
      </c>
      <c r="G151" s="33">
        <v>4026.6426587725455</v>
      </c>
      <c r="H151" s="13">
        <f t="shared" si="10"/>
        <v>201332.13293862727</v>
      </c>
      <c r="I151" s="13">
        <f t="shared" si="11"/>
        <v>-218135.0138859218</v>
      </c>
    </row>
    <row r="152" spans="1:9" x14ac:dyDescent="0.25">
      <c r="A152" s="33">
        <v>12123.447370830409</v>
      </c>
      <c r="B152">
        <f t="shared" si="8"/>
        <v>300000</v>
      </c>
      <c r="C152" s="13">
        <f t="shared" si="9"/>
        <v>348641.31595812854</v>
      </c>
      <c r="G152" s="33">
        <v>3123.4473708304085</v>
      </c>
      <c r="H152" s="13">
        <f t="shared" si="10"/>
        <v>156172.36854152044</v>
      </c>
      <c r="I152" s="13">
        <f t="shared" si="11"/>
        <v>-281358.6840418714</v>
      </c>
    </row>
    <row r="153" spans="1:9" x14ac:dyDescent="0.25">
      <c r="A153" s="33">
        <v>15263.03903317362</v>
      </c>
      <c r="B153">
        <f t="shared" si="8"/>
        <v>300000</v>
      </c>
      <c r="C153" s="13">
        <f t="shared" si="9"/>
        <v>550000</v>
      </c>
      <c r="G153" s="33">
        <v>6263.0390331736198</v>
      </c>
      <c r="H153" s="13">
        <f t="shared" si="10"/>
        <v>300000</v>
      </c>
      <c r="I153" s="13">
        <f t="shared" si="11"/>
        <v>-61587.267677846598</v>
      </c>
    </row>
    <row r="154" spans="1:9" x14ac:dyDescent="0.25">
      <c r="A154" s="33">
        <v>15577.837458418531</v>
      </c>
      <c r="B154">
        <f t="shared" si="8"/>
        <v>300000</v>
      </c>
      <c r="C154" s="13">
        <f t="shared" si="9"/>
        <v>550000</v>
      </c>
      <c r="G154" s="33">
        <v>6577.8374584185312</v>
      </c>
      <c r="H154" s="13">
        <f t="shared" si="10"/>
        <v>300000</v>
      </c>
      <c r="I154" s="13">
        <f t="shared" si="11"/>
        <v>-39551.377910702839</v>
      </c>
    </row>
    <row r="155" spans="1:9" x14ac:dyDescent="0.25">
      <c r="A155" s="33">
        <v>14864.314706869716</v>
      </c>
      <c r="B155">
        <f t="shared" si="8"/>
        <v>300000</v>
      </c>
      <c r="C155" s="13">
        <f t="shared" si="9"/>
        <v>540502.02948088013</v>
      </c>
      <c r="G155" s="33">
        <v>5864.3147068697162</v>
      </c>
      <c r="H155" s="13">
        <f t="shared" si="10"/>
        <v>293215.73534348584</v>
      </c>
      <c r="I155" s="13">
        <f t="shared" si="11"/>
        <v>-89497.970519119874</v>
      </c>
    </row>
    <row r="156" spans="1:9" x14ac:dyDescent="0.25">
      <c r="A156" s="33">
        <v>15519.241920224616</v>
      </c>
      <c r="B156">
        <f t="shared" si="8"/>
        <v>300000</v>
      </c>
      <c r="C156" s="13">
        <f t="shared" si="9"/>
        <v>550000</v>
      </c>
      <c r="G156" s="33">
        <v>6519.2419202246165</v>
      </c>
      <c r="H156" s="13">
        <f t="shared" si="10"/>
        <v>300000</v>
      </c>
      <c r="I156" s="13">
        <f t="shared" si="11"/>
        <v>-43653.065584276861</v>
      </c>
    </row>
    <row r="157" spans="1:9" x14ac:dyDescent="0.25">
      <c r="A157" s="33">
        <v>12890.530106509597</v>
      </c>
      <c r="B157">
        <f t="shared" si="8"/>
        <v>300000</v>
      </c>
      <c r="C157" s="13">
        <f t="shared" si="9"/>
        <v>402337.10745567176</v>
      </c>
      <c r="G157" s="33">
        <v>3890.5301065095982</v>
      </c>
      <c r="H157" s="13">
        <f t="shared" si="10"/>
        <v>194526.5053254799</v>
      </c>
      <c r="I157" s="13">
        <f t="shared" si="11"/>
        <v>-227662.89254432812</v>
      </c>
    </row>
    <row r="158" spans="1:9" x14ac:dyDescent="0.25">
      <c r="A158" s="33">
        <v>15627.277443769646</v>
      </c>
      <c r="B158">
        <f t="shared" si="8"/>
        <v>300000</v>
      </c>
      <c r="C158" s="13">
        <f t="shared" si="9"/>
        <v>550000</v>
      </c>
      <c r="G158" s="33">
        <v>6627.2774437696462</v>
      </c>
      <c r="H158" s="13">
        <f t="shared" si="10"/>
        <v>300000</v>
      </c>
      <c r="I158" s="13">
        <f t="shared" si="11"/>
        <v>-36090.578936124744</v>
      </c>
    </row>
    <row r="159" spans="1:9" x14ac:dyDescent="0.25">
      <c r="A159" s="33">
        <v>16788.201544236581</v>
      </c>
      <c r="B159">
        <f t="shared" si="8"/>
        <v>300000</v>
      </c>
      <c r="C159" s="13">
        <f t="shared" si="9"/>
        <v>550000</v>
      </c>
      <c r="G159" s="33">
        <v>7788.2015442365791</v>
      </c>
      <c r="H159" s="13">
        <f t="shared" si="10"/>
        <v>300000</v>
      </c>
      <c r="I159" s="13">
        <f t="shared" si="11"/>
        <v>45174.10809656058</v>
      </c>
    </row>
    <row r="160" spans="1:9" x14ac:dyDescent="0.25">
      <c r="A160" s="33">
        <v>15923.001800592059</v>
      </c>
      <c r="B160">
        <f t="shared" si="8"/>
        <v>300000</v>
      </c>
      <c r="C160" s="13">
        <f t="shared" si="9"/>
        <v>550000</v>
      </c>
      <c r="G160" s="33">
        <v>6923.0018005920592</v>
      </c>
      <c r="H160" s="13">
        <f t="shared" si="10"/>
        <v>300000</v>
      </c>
      <c r="I160" s="13">
        <f t="shared" si="11"/>
        <v>-15389.873958555865</v>
      </c>
    </row>
    <row r="161" spans="1:9" x14ac:dyDescent="0.25">
      <c r="A161" s="33">
        <v>15976.714377269815</v>
      </c>
      <c r="B161">
        <f t="shared" si="8"/>
        <v>300000</v>
      </c>
      <c r="C161" s="13">
        <f t="shared" si="9"/>
        <v>550000</v>
      </c>
      <c r="G161" s="33">
        <v>6976.7143772698146</v>
      </c>
      <c r="H161" s="13">
        <f t="shared" si="10"/>
        <v>300000</v>
      </c>
      <c r="I161" s="13">
        <f t="shared" si="11"/>
        <v>-11629.993591112958</v>
      </c>
    </row>
    <row r="162" spans="1:9" x14ac:dyDescent="0.25">
      <c r="A162" s="33">
        <v>15011.413922544023</v>
      </c>
      <c r="B162">
        <f t="shared" si="8"/>
        <v>300000</v>
      </c>
      <c r="C162" s="13">
        <f t="shared" si="9"/>
        <v>550000</v>
      </c>
      <c r="G162" s="33">
        <v>6011.4139225440231</v>
      </c>
      <c r="H162" s="13">
        <f t="shared" si="10"/>
        <v>300000</v>
      </c>
      <c r="I162" s="13">
        <f t="shared" si="11"/>
        <v>-79201.02542191837</v>
      </c>
    </row>
    <row r="163" spans="1:9" x14ac:dyDescent="0.25">
      <c r="A163" s="33">
        <v>13109.500411999878</v>
      </c>
      <c r="B163">
        <f t="shared" si="8"/>
        <v>300000</v>
      </c>
      <c r="C163" s="13">
        <f t="shared" si="9"/>
        <v>417665.02883999143</v>
      </c>
      <c r="G163" s="33">
        <v>4109.5004119998775</v>
      </c>
      <c r="H163" s="13">
        <f t="shared" si="10"/>
        <v>205475.02059999388</v>
      </c>
      <c r="I163" s="13">
        <f t="shared" si="11"/>
        <v>-212334.97116000857</v>
      </c>
    </row>
    <row r="164" spans="1:9" x14ac:dyDescent="0.25">
      <c r="A164" s="33">
        <v>12336.16138187811</v>
      </c>
      <c r="B164">
        <f t="shared" si="8"/>
        <v>300000</v>
      </c>
      <c r="C164" s="13">
        <f t="shared" si="9"/>
        <v>363531.29673146771</v>
      </c>
      <c r="G164" s="33">
        <v>3336.1613818781088</v>
      </c>
      <c r="H164" s="13">
        <f t="shared" si="10"/>
        <v>166808.06909390545</v>
      </c>
      <c r="I164" s="13">
        <f t="shared" si="11"/>
        <v>-266468.70326853241</v>
      </c>
    </row>
    <row r="165" spans="1:9" x14ac:dyDescent="0.25">
      <c r="A165" s="33">
        <v>14207.403790398877</v>
      </c>
      <c r="B165">
        <f t="shared" si="8"/>
        <v>300000</v>
      </c>
      <c r="C165" s="13">
        <f t="shared" si="9"/>
        <v>494518.26532792137</v>
      </c>
      <c r="G165" s="33">
        <v>5207.4037903988774</v>
      </c>
      <c r="H165" s="13">
        <f t="shared" si="10"/>
        <v>260370.18951994387</v>
      </c>
      <c r="I165" s="13">
        <f t="shared" si="11"/>
        <v>-135481.73467207857</v>
      </c>
    </row>
    <row r="166" spans="1:9" x14ac:dyDescent="0.25">
      <c r="A166" s="33">
        <v>12095.370342112492</v>
      </c>
      <c r="B166">
        <f t="shared" si="8"/>
        <v>300000</v>
      </c>
      <c r="C166" s="13">
        <f t="shared" si="9"/>
        <v>346675.92394787446</v>
      </c>
      <c r="G166" s="33">
        <v>3095.370342112491</v>
      </c>
      <c r="H166" s="13">
        <f t="shared" si="10"/>
        <v>154768.51710562455</v>
      </c>
      <c r="I166" s="13">
        <f t="shared" si="11"/>
        <v>-283324.07605212566</v>
      </c>
    </row>
    <row r="167" spans="1:9" x14ac:dyDescent="0.25">
      <c r="A167" s="33">
        <v>13959.4409009064</v>
      </c>
      <c r="B167">
        <f t="shared" si="8"/>
        <v>300000</v>
      </c>
      <c r="C167" s="13">
        <f t="shared" si="9"/>
        <v>477160.86306344799</v>
      </c>
      <c r="G167" s="33">
        <v>4959.4409009064002</v>
      </c>
      <c r="H167" s="13">
        <f t="shared" si="10"/>
        <v>247972.04504532</v>
      </c>
      <c r="I167" s="13">
        <f t="shared" si="11"/>
        <v>-152839.13693655201</v>
      </c>
    </row>
    <row r="168" spans="1:9" x14ac:dyDescent="0.25">
      <c r="A168" s="33">
        <v>16185.308389538255</v>
      </c>
      <c r="B168">
        <f t="shared" si="8"/>
        <v>300000</v>
      </c>
      <c r="C168" s="13">
        <f t="shared" si="9"/>
        <v>550000</v>
      </c>
      <c r="G168" s="33">
        <v>7185.3083895382551</v>
      </c>
      <c r="H168" s="13">
        <f t="shared" si="10"/>
        <v>300000</v>
      </c>
      <c r="I168" s="13">
        <f t="shared" si="11"/>
        <v>2971.5872676778818</v>
      </c>
    </row>
    <row r="169" spans="1:9" x14ac:dyDescent="0.25">
      <c r="A169" s="33">
        <v>15348.796044801173</v>
      </c>
      <c r="B169">
        <f t="shared" si="8"/>
        <v>300000</v>
      </c>
      <c r="C169" s="13">
        <f t="shared" si="9"/>
        <v>550000</v>
      </c>
      <c r="G169" s="33">
        <v>6348.7960448011718</v>
      </c>
      <c r="H169" s="13">
        <f t="shared" si="10"/>
        <v>300000</v>
      </c>
      <c r="I169" s="13">
        <f t="shared" si="11"/>
        <v>-55584.276863917999</v>
      </c>
    </row>
    <row r="170" spans="1:9" x14ac:dyDescent="0.25">
      <c r="A170" s="33">
        <v>14951.902829065828</v>
      </c>
      <c r="B170">
        <f t="shared" si="8"/>
        <v>300000</v>
      </c>
      <c r="C170" s="13">
        <f t="shared" si="9"/>
        <v>546633.19803460792</v>
      </c>
      <c r="G170" s="33">
        <v>5951.902829065828</v>
      </c>
      <c r="H170" s="13">
        <f t="shared" si="10"/>
        <v>297595.14145329141</v>
      </c>
      <c r="I170" s="13">
        <f t="shared" si="11"/>
        <v>-83366.80196539202</v>
      </c>
    </row>
    <row r="171" spans="1:9" x14ac:dyDescent="0.25">
      <c r="A171" s="33">
        <v>13511.734366893521</v>
      </c>
      <c r="B171">
        <f t="shared" si="8"/>
        <v>300000</v>
      </c>
      <c r="C171" s="13">
        <f t="shared" si="9"/>
        <v>445821.40568254644</v>
      </c>
      <c r="G171" s="33">
        <v>4511.7343668935209</v>
      </c>
      <c r="H171" s="13">
        <f t="shared" si="10"/>
        <v>225586.71834467605</v>
      </c>
      <c r="I171" s="13">
        <f t="shared" si="11"/>
        <v>-184178.59431745356</v>
      </c>
    </row>
    <row r="172" spans="1:9" x14ac:dyDescent="0.25">
      <c r="A172" s="33">
        <v>12275.124362926115</v>
      </c>
      <c r="B172">
        <f t="shared" si="8"/>
        <v>300000</v>
      </c>
      <c r="C172" s="13">
        <f t="shared" si="9"/>
        <v>359258.70540482807</v>
      </c>
      <c r="G172" s="33">
        <v>3275.1243629261148</v>
      </c>
      <c r="H172" s="13">
        <f t="shared" si="10"/>
        <v>163756.21814630573</v>
      </c>
      <c r="I172" s="13">
        <f t="shared" si="11"/>
        <v>-270741.29459517193</v>
      </c>
    </row>
    <row r="173" spans="1:9" x14ac:dyDescent="0.25">
      <c r="A173" s="33">
        <v>15505.355998413037</v>
      </c>
      <c r="B173">
        <f t="shared" si="8"/>
        <v>300000</v>
      </c>
      <c r="C173" s="13">
        <f t="shared" si="9"/>
        <v>550000</v>
      </c>
      <c r="G173" s="33">
        <v>6505.355998413037</v>
      </c>
      <c r="H173" s="13">
        <f t="shared" si="10"/>
        <v>300000</v>
      </c>
      <c r="I173" s="13">
        <f t="shared" si="11"/>
        <v>-44625.080111087416</v>
      </c>
    </row>
    <row r="174" spans="1:9" x14ac:dyDescent="0.25">
      <c r="A174" s="33">
        <v>16206.976531266213</v>
      </c>
      <c r="B174">
        <f t="shared" si="8"/>
        <v>300000</v>
      </c>
      <c r="C174" s="13">
        <f t="shared" si="9"/>
        <v>550000</v>
      </c>
      <c r="G174" s="33">
        <v>7206.976531266213</v>
      </c>
      <c r="H174" s="13">
        <f t="shared" si="10"/>
        <v>300000</v>
      </c>
      <c r="I174" s="13">
        <f t="shared" si="11"/>
        <v>4488.3571886349237</v>
      </c>
    </row>
    <row r="175" spans="1:9" x14ac:dyDescent="0.25">
      <c r="A175" s="33">
        <v>13567.735831781976</v>
      </c>
      <c r="B175">
        <f t="shared" si="8"/>
        <v>300000</v>
      </c>
      <c r="C175" s="13">
        <f t="shared" si="9"/>
        <v>449741.5082247383</v>
      </c>
      <c r="G175" s="33">
        <v>4567.7358317819762</v>
      </c>
      <c r="H175" s="13">
        <f t="shared" si="10"/>
        <v>228386.79158909881</v>
      </c>
      <c r="I175" s="13">
        <f t="shared" si="11"/>
        <v>-180258.49177526165</v>
      </c>
    </row>
    <row r="176" spans="1:9" x14ac:dyDescent="0.25">
      <c r="A176" s="33">
        <v>13661.275063325907</v>
      </c>
      <c r="B176">
        <f t="shared" si="8"/>
        <v>300000</v>
      </c>
      <c r="C176" s="13">
        <f t="shared" si="9"/>
        <v>456289.2544328135</v>
      </c>
      <c r="G176" s="33">
        <v>4661.2750633259075</v>
      </c>
      <c r="H176" s="13">
        <f t="shared" si="10"/>
        <v>233063.75316629538</v>
      </c>
      <c r="I176" s="13">
        <f t="shared" si="11"/>
        <v>-173710.7455671865</v>
      </c>
    </row>
    <row r="177" spans="1:9" x14ac:dyDescent="0.25">
      <c r="A177" s="33">
        <v>12631.427961058382</v>
      </c>
      <c r="B177">
        <f t="shared" si="8"/>
        <v>300000</v>
      </c>
      <c r="C177" s="13">
        <f t="shared" si="9"/>
        <v>384199.95727408677</v>
      </c>
      <c r="G177" s="33">
        <v>3631.4279610583817</v>
      </c>
      <c r="H177" s="13">
        <f t="shared" si="10"/>
        <v>181571.39805291907</v>
      </c>
      <c r="I177" s="13">
        <f t="shared" si="11"/>
        <v>-245800.04272591328</v>
      </c>
    </row>
    <row r="178" spans="1:9" x14ac:dyDescent="0.25">
      <c r="A178" s="33">
        <v>13131.778923917356</v>
      </c>
      <c r="B178">
        <f t="shared" si="8"/>
        <v>300000</v>
      </c>
      <c r="C178" s="13">
        <f t="shared" si="9"/>
        <v>419224.52467421489</v>
      </c>
      <c r="G178" s="33">
        <v>4131.7789239173562</v>
      </c>
      <c r="H178" s="13">
        <f t="shared" si="10"/>
        <v>206588.94619586781</v>
      </c>
      <c r="I178" s="13">
        <f t="shared" si="11"/>
        <v>-210775.47532578505</v>
      </c>
    </row>
    <row r="179" spans="1:9" x14ac:dyDescent="0.25">
      <c r="A179" s="33">
        <v>16408.398693807794</v>
      </c>
      <c r="B179">
        <f t="shared" si="8"/>
        <v>300000</v>
      </c>
      <c r="C179" s="13">
        <f t="shared" si="9"/>
        <v>550000</v>
      </c>
      <c r="G179" s="33">
        <v>7408.3986938077942</v>
      </c>
      <c r="H179" s="13">
        <f t="shared" si="10"/>
        <v>300000</v>
      </c>
      <c r="I179" s="13">
        <f t="shared" si="11"/>
        <v>18587.908566545579</v>
      </c>
    </row>
    <row r="180" spans="1:9" x14ac:dyDescent="0.25">
      <c r="A180" s="33">
        <v>13718.497268593403</v>
      </c>
      <c r="B180">
        <f t="shared" si="8"/>
        <v>300000</v>
      </c>
      <c r="C180" s="13">
        <f t="shared" si="9"/>
        <v>460294.80880153819</v>
      </c>
      <c r="G180" s="33">
        <v>4718.4972685934017</v>
      </c>
      <c r="H180" s="13">
        <f t="shared" si="10"/>
        <v>235924.86342967008</v>
      </c>
      <c r="I180" s="13">
        <f t="shared" si="11"/>
        <v>-169705.19119846186</v>
      </c>
    </row>
    <row r="181" spans="1:9" x14ac:dyDescent="0.25">
      <c r="A181" s="33">
        <v>13451.918088320566</v>
      </c>
      <c r="B181">
        <f t="shared" si="8"/>
        <v>300000</v>
      </c>
      <c r="C181" s="13">
        <f t="shared" si="9"/>
        <v>441634.26618243963</v>
      </c>
      <c r="G181" s="33">
        <v>4451.9180883205663</v>
      </c>
      <c r="H181" s="13">
        <f t="shared" si="10"/>
        <v>222595.90441602832</v>
      </c>
      <c r="I181" s="13">
        <f t="shared" si="11"/>
        <v>-188365.73381756037</v>
      </c>
    </row>
    <row r="182" spans="1:9" x14ac:dyDescent="0.25">
      <c r="A182" s="33">
        <v>12508.590960417494</v>
      </c>
      <c r="B182">
        <f t="shared" si="8"/>
        <v>300000</v>
      </c>
      <c r="C182" s="13">
        <f t="shared" si="9"/>
        <v>375601.36722922453</v>
      </c>
      <c r="G182" s="33">
        <v>3508.5909604174931</v>
      </c>
      <c r="H182" s="13">
        <f t="shared" si="10"/>
        <v>175429.54802087464</v>
      </c>
      <c r="I182" s="13">
        <f t="shared" si="11"/>
        <v>-254398.6327707755</v>
      </c>
    </row>
    <row r="183" spans="1:9" x14ac:dyDescent="0.25">
      <c r="A183" s="33">
        <v>13319.925534836879</v>
      </c>
      <c r="B183">
        <f t="shared" si="8"/>
        <v>300000</v>
      </c>
      <c r="C183" s="13">
        <f t="shared" si="9"/>
        <v>432394.78743858146</v>
      </c>
      <c r="G183" s="33">
        <v>4319.9255348368788</v>
      </c>
      <c r="H183" s="13">
        <f t="shared" si="10"/>
        <v>215996.27674184393</v>
      </c>
      <c r="I183" s="13">
        <f t="shared" si="11"/>
        <v>-197605.21256141848</v>
      </c>
    </row>
    <row r="184" spans="1:9" x14ac:dyDescent="0.25">
      <c r="A184" s="33">
        <v>16187.292092654196</v>
      </c>
      <c r="B184">
        <f t="shared" si="8"/>
        <v>300000</v>
      </c>
      <c r="C184" s="13">
        <f t="shared" si="9"/>
        <v>550000</v>
      </c>
      <c r="G184" s="33">
        <v>7187.2920926541947</v>
      </c>
      <c r="H184" s="13">
        <f t="shared" si="10"/>
        <v>300000</v>
      </c>
      <c r="I184" s="13">
        <f t="shared" si="11"/>
        <v>3110.4464857936255</v>
      </c>
    </row>
    <row r="185" spans="1:9" x14ac:dyDescent="0.25">
      <c r="A185" s="33">
        <v>16444.71572008423</v>
      </c>
      <c r="B185">
        <f t="shared" si="8"/>
        <v>300000</v>
      </c>
      <c r="C185" s="13">
        <f t="shared" si="9"/>
        <v>550000</v>
      </c>
      <c r="G185" s="33">
        <v>7444.7157200842312</v>
      </c>
      <c r="H185" s="13">
        <f t="shared" si="10"/>
        <v>300000</v>
      </c>
      <c r="I185" s="13">
        <f t="shared" si="11"/>
        <v>21130.100405896199</v>
      </c>
    </row>
    <row r="186" spans="1:9" x14ac:dyDescent="0.25">
      <c r="A186" s="33">
        <v>12303.811761833553</v>
      </c>
      <c r="B186">
        <f t="shared" si="8"/>
        <v>300000</v>
      </c>
      <c r="C186" s="13">
        <f t="shared" si="9"/>
        <v>361266.82332834869</v>
      </c>
      <c r="G186" s="33">
        <v>3303.8117618335518</v>
      </c>
      <c r="H186" s="13">
        <f t="shared" si="10"/>
        <v>165190.58809167758</v>
      </c>
      <c r="I186" s="13">
        <f t="shared" si="11"/>
        <v>-268733.17667165137</v>
      </c>
    </row>
    <row r="187" spans="1:9" x14ac:dyDescent="0.25">
      <c r="A187" s="33">
        <v>12700.857570116275</v>
      </c>
      <c r="B187">
        <f t="shared" si="8"/>
        <v>300000</v>
      </c>
      <c r="C187" s="13">
        <f t="shared" si="9"/>
        <v>389060.02990813926</v>
      </c>
      <c r="G187" s="33">
        <v>3700.8575701162754</v>
      </c>
      <c r="H187" s="13">
        <f t="shared" si="10"/>
        <v>185042.87850581377</v>
      </c>
      <c r="I187" s="13">
        <f t="shared" si="11"/>
        <v>-240939.97009186071</v>
      </c>
    </row>
    <row r="188" spans="1:9" x14ac:dyDescent="0.25">
      <c r="A188" s="33">
        <v>16480.880153813287</v>
      </c>
      <c r="B188">
        <f t="shared" si="8"/>
        <v>300000</v>
      </c>
      <c r="C188" s="13">
        <f t="shared" si="9"/>
        <v>550000</v>
      </c>
      <c r="G188" s="33">
        <v>7480.8801538132875</v>
      </c>
      <c r="H188" s="13">
        <f t="shared" si="10"/>
        <v>300000</v>
      </c>
      <c r="I188" s="13">
        <f t="shared" si="11"/>
        <v>23661.610766930098</v>
      </c>
    </row>
    <row r="189" spans="1:9" x14ac:dyDescent="0.25">
      <c r="A189" s="33">
        <v>16046.601763969848</v>
      </c>
      <c r="B189">
        <f t="shared" si="8"/>
        <v>300000</v>
      </c>
      <c r="C189" s="13">
        <f t="shared" si="9"/>
        <v>550000</v>
      </c>
      <c r="G189" s="33">
        <v>7046.6017639698475</v>
      </c>
      <c r="H189" s="13">
        <f t="shared" si="10"/>
        <v>300000</v>
      </c>
      <c r="I189" s="13">
        <f t="shared" si="11"/>
        <v>-6737.8765221106587</v>
      </c>
    </row>
    <row r="190" spans="1:9" x14ac:dyDescent="0.25">
      <c r="A190" s="33">
        <v>14678.914761803033</v>
      </c>
      <c r="B190">
        <f t="shared" si="8"/>
        <v>300000</v>
      </c>
      <c r="C190" s="13">
        <f t="shared" si="9"/>
        <v>527524.03332621232</v>
      </c>
      <c r="G190" s="33">
        <v>5678.9147618030329</v>
      </c>
      <c r="H190" s="13">
        <f t="shared" si="10"/>
        <v>283945.73809015163</v>
      </c>
      <c r="I190" s="13">
        <f t="shared" si="11"/>
        <v>-102475.96667378768</v>
      </c>
    </row>
    <row r="191" spans="1:9" x14ac:dyDescent="0.25">
      <c r="A191" s="33">
        <v>14153.386028626363</v>
      </c>
      <c r="B191">
        <f t="shared" si="8"/>
        <v>300000</v>
      </c>
      <c r="C191" s="13">
        <f t="shared" si="9"/>
        <v>490737.02200384543</v>
      </c>
      <c r="G191" s="33">
        <v>5153.3860286263625</v>
      </c>
      <c r="H191" s="13">
        <f t="shared" si="10"/>
        <v>257669.30143131813</v>
      </c>
      <c r="I191" s="13">
        <f t="shared" si="11"/>
        <v>-139262.97799615463</v>
      </c>
    </row>
    <row r="192" spans="1:9" x14ac:dyDescent="0.25">
      <c r="A192" s="33">
        <v>15032.624286629842</v>
      </c>
      <c r="B192">
        <f t="shared" si="8"/>
        <v>300000</v>
      </c>
      <c r="C192" s="13">
        <f t="shared" si="9"/>
        <v>550000</v>
      </c>
      <c r="G192" s="33">
        <v>6032.6242866298408</v>
      </c>
      <c r="H192" s="13">
        <f t="shared" si="10"/>
        <v>300000</v>
      </c>
      <c r="I192" s="13">
        <f t="shared" si="11"/>
        <v>-77716.299935911142</v>
      </c>
    </row>
    <row r="193" spans="1:9" x14ac:dyDescent="0.25">
      <c r="A193" s="33">
        <v>15734.092226935636</v>
      </c>
      <c r="B193">
        <f t="shared" si="8"/>
        <v>300000</v>
      </c>
      <c r="C193" s="13">
        <f t="shared" si="9"/>
        <v>550000</v>
      </c>
      <c r="G193" s="33">
        <v>6734.0922269356361</v>
      </c>
      <c r="H193" s="13">
        <f t="shared" si="10"/>
        <v>300000</v>
      </c>
      <c r="I193" s="13">
        <f t="shared" si="11"/>
        <v>-28613.544114505465</v>
      </c>
    </row>
    <row r="194" spans="1:9" x14ac:dyDescent="0.25">
      <c r="A194" s="33">
        <v>12369.884334849086</v>
      </c>
      <c r="B194">
        <f t="shared" si="8"/>
        <v>300000</v>
      </c>
      <c r="C194" s="13">
        <f t="shared" si="9"/>
        <v>365891.90343943599</v>
      </c>
      <c r="G194" s="33">
        <v>3369.8843348490859</v>
      </c>
      <c r="H194" s="13">
        <f t="shared" si="10"/>
        <v>168494.2167424543</v>
      </c>
      <c r="I194" s="13">
        <f t="shared" si="11"/>
        <v>-264108.09656056401</v>
      </c>
    </row>
    <row r="195" spans="1:9" x14ac:dyDescent="0.25">
      <c r="A195" s="33">
        <v>12469.069490646078</v>
      </c>
      <c r="B195">
        <f t="shared" si="8"/>
        <v>300000</v>
      </c>
      <c r="C195" s="13">
        <f t="shared" si="9"/>
        <v>372834.86434522539</v>
      </c>
      <c r="G195" s="33">
        <v>3469.0694906460767</v>
      </c>
      <c r="H195" s="13">
        <f t="shared" si="10"/>
        <v>173453.47453230384</v>
      </c>
      <c r="I195" s="13">
        <f t="shared" si="11"/>
        <v>-257165.13565477464</v>
      </c>
    </row>
    <row r="196" spans="1:9" x14ac:dyDescent="0.25">
      <c r="A196" s="33">
        <v>15967.253639332255</v>
      </c>
      <c r="B196">
        <f t="shared" si="8"/>
        <v>300000</v>
      </c>
      <c r="C196" s="13">
        <f t="shared" si="9"/>
        <v>550000</v>
      </c>
      <c r="G196" s="33">
        <v>6967.2536393322553</v>
      </c>
      <c r="H196" s="13">
        <f t="shared" si="10"/>
        <v>300000</v>
      </c>
      <c r="I196" s="13">
        <f t="shared" si="11"/>
        <v>-12292.245246742154</v>
      </c>
    </row>
    <row r="197" spans="1:9" x14ac:dyDescent="0.25">
      <c r="A197" s="33">
        <v>15139.133884701072</v>
      </c>
      <c r="B197">
        <f t="shared" si="8"/>
        <v>300000</v>
      </c>
      <c r="C197" s="13">
        <f t="shared" si="9"/>
        <v>550000</v>
      </c>
      <c r="G197" s="33">
        <v>6139.133884701072</v>
      </c>
      <c r="H197" s="13">
        <f t="shared" si="10"/>
        <v>300000</v>
      </c>
      <c r="I197" s="13">
        <f t="shared" si="11"/>
        <v>-70260.628070924955</v>
      </c>
    </row>
    <row r="198" spans="1:9" x14ac:dyDescent="0.25">
      <c r="A198" s="33">
        <v>12968.962675862911</v>
      </c>
      <c r="B198">
        <f t="shared" si="8"/>
        <v>300000</v>
      </c>
      <c r="C198" s="13">
        <f t="shared" si="9"/>
        <v>407827.38731040375</v>
      </c>
      <c r="G198" s="33">
        <v>3968.9626758629111</v>
      </c>
      <c r="H198" s="13">
        <f t="shared" si="10"/>
        <v>198448.13379314556</v>
      </c>
      <c r="I198" s="13">
        <f t="shared" si="11"/>
        <v>-222172.61268959625</v>
      </c>
    </row>
    <row r="199" spans="1:9" x14ac:dyDescent="0.25">
      <c r="A199" s="33">
        <v>12912.350840784937</v>
      </c>
      <c r="B199">
        <f t="shared" si="8"/>
        <v>300000</v>
      </c>
      <c r="C199" s="13">
        <f t="shared" si="9"/>
        <v>403864.55885494559</v>
      </c>
      <c r="G199" s="33">
        <v>3912.3508407849358</v>
      </c>
      <c r="H199" s="13">
        <f t="shared" si="10"/>
        <v>195617.54203924679</v>
      </c>
      <c r="I199" s="13">
        <f t="shared" si="11"/>
        <v>-226135.44114505447</v>
      </c>
    </row>
    <row r="200" spans="1:9" x14ac:dyDescent="0.25">
      <c r="A200" s="33">
        <v>16872.737815485092</v>
      </c>
      <c r="B200">
        <f t="shared" si="8"/>
        <v>300000</v>
      </c>
      <c r="C200" s="13">
        <f t="shared" si="9"/>
        <v>550000</v>
      </c>
      <c r="G200" s="33">
        <v>7872.7378154850912</v>
      </c>
      <c r="H200" s="13">
        <f t="shared" si="10"/>
        <v>300000</v>
      </c>
      <c r="I200" s="13">
        <f t="shared" si="11"/>
        <v>51091.647083956399</v>
      </c>
    </row>
    <row r="201" spans="1:9" x14ac:dyDescent="0.25">
      <c r="A201" s="33">
        <v>13852.473525193029</v>
      </c>
      <c r="B201">
        <f t="shared" si="8"/>
        <v>300000</v>
      </c>
      <c r="C201" s="13">
        <f t="shared" si="9"/>
        <v>469673.14676351205</v>
      </c>
      <c r="G201" s="33">
        <v>4852.4735251930297</v>
      </c>
      <c r="H201" s="13">
        <f t="shared" si="10"/>
        <v>242623.67625965149</v>
      </c>
      <c r="I201" s="13">
        <f t="shared" si="11"/>
        <v>-160326.85323648795</v>
      </c>
    </row>
    <row r="202" spans="1:9" x14ac:dyDescent="0.25">
      <c r="A202" s="33">
        <v>13134.830774864955</v>
      </c>
      <c r="B202">
        <f t="shared" si="8"/>
        <v>300000</v>
      </c>
      <c r="C202" s="13">
        <f t="shared" si="9"/>
        <v>419438.15424054686</v>
      </c>
      <c r="G202" s="33">
        <v>4134.8307748649559</v>
      </c>
      <c r="H202" s="13">
        <f t="shared" si="10"/>
        <v>206741.5387432478</v>
      </c>
      <c r="I202" s="13">
        <f t="shared" si="11"/>
        <v>-210561.84575945308</v>
      </c>
    </row>
    <row r="203" spans="1:9" x14ac:dyDescent="0.25">
      <c r="A203" s="33">
        <v>16709.158604693745</v>
      </c>
      <c r="B203">
        <f t="shared" ref="B203:B266" si="12">MIN(A203,6000)*50</f>
        <v>300000</v>
      </c>
      <c r="C203" s="13">
        <f t="shared" ref="C203:C266" si="13">MIN(A203,$C$3)*$C$6-500000</f>
        <v>550000</v>
      </c>
      <c r="G203" s="33">
        <v>7709.1586046937464</v>
      </c>
      <c r="H203" s="13">
        <f t="shared" ref="H203:H266" si="14">MIN(G203,6000)*50</f>
        <v>300000</v>
      </c>
      <c r="I203" s="13">
        <f t="shared" ref="I203:I266" si="15">MIN(G203,15000)*70-500000</f>
        <v>39641.102328562294</v>
      </c>
    </row>
    <row r="204" spans="1:9" x14ac:dyDescent="0.25">
      <c r="A204" s="33">
        <v>12959.807123020111</v>
      </c>
      <c r="B204">
        <f t="shared" si="12"/>
        <v>300000</v>
      </c>
      <c r="C204" s="13">
        <f t="shared" si="13"/>
        <v>407186.49861140782</v>
      </c>
      <c r="G204" s="33">
        <v>3959.8071230201117</v>
      </c>
      <c r="H204" s="13">
        <f t="shared" si="14"/>
        <v>197990.35615100557</v>
      </c>
      <c r="I204" s="13">
        <f t="shared" si="15"/>
        <v>-222813.50138859218</v>
      </c>
    </row>
    <row r="205" spans="1:9" x14ac:dyDescent="0.25">
      <c r="A205" s="33">
        <v>12074.465163121433</v>
      </c>
      <c r="B205">
        <f t="shared" si="12"/>
        <v>300000</v>
      </c>
      <c r="C205" s="13">
        <f t="shared" si="13"/>
        <v>345212.56141850026</v>
      </c>
      <c r="G205" s="33">
        <v>3074.4651631214333</v>
      </c>
      <c r="H205" s="13">
        <f t="shared" si="14"/>
        <v>153723.25815607168</v>
      </c>
      <c r="I205" s="13">
        <f t="shared" si="15"/>
        <v>-284787.43858149968</v>
      </c>
    </row>
    <row r="206" spans="1:9" x14ac:dyDescent="0.25">
      <c r="A206" s="33">
        <v>12269.325846125676</v>
      </c>
      <c r="B206">
        <f t="shared" si="12"/>
        <v>300000</v>
      </c>
      <c r="C206" s="13">
        <f t="shared" si="13"/>
        <v>358852.80922879733</v>
      </c>
      <c r="G206" s="33">
        <v>3269.3258461256751</v>
      </c>
      <c r="H206" s="13">
        <f t="shared" si="14"/>
        <v>163466.29230628375</v>
      </c>
      <c r="I206" s="13">
        <f t="shared" si="15"/>
        <v>-271147.19077120273</v>
      </c>
    </row>
    <row r="207" spans="1:9" x14ac:dyDescent="0.25">
      <c r="A207" s="33">
        <v>13147.495956297495</v>
      </c>
      <c r="B207">
        <f t="shared" si="12"/>
        <v>300000</v>
      </c>
      <c r="C207" s="13">
        <f t="shared" si="13"/>
        <v>420324.71694082464</v>
      </c>
      <c r="G207" s="33">
        <v>4147.4959562974946</v>
      </c>
      <c r="H207" s="13">
        <f t="shared" si="14"/>
        <v>207374.79781487474</v>
      </c>
      <c r="I207" s="13">
        <f t="shared" si="15"/>
        <v>-209675.28305917536</v>
      </c>
    </row>
    <row r="208" spans="1:9" x14ac:dyDescent="0.25">
      <c r="A208" s="33">
        <v>16386.272774437697</v>
      </c>
      <c r="B208">
        <f t="shared" si="12"/>
        <v>300000</v>
      </c>
      <c r="C208" s="13">
        <f t="shared" si="13"/>
        <v>550000</v>
      </c>
      <c r="G208" s="33">
        <v>7386.2727744376971</v>
      </c>
      <c r="H208" s="13">
        <f t="shared" si="14"/>
        <v>300000</v>
      </c>
      <c r="I208" s="13">
        <f t="shared" si="15"/>
        <v>17039.094210638781</v>
      </c>
    </row>
    <row r="209" spans="1:9" x14ac:dyDescent="0.25">
      <c r="A209" s="33">
        <v>15767.052217169714</v>
      </c>
      <c r="B209">
        <f t="shared" si="12"/>
        <v>300000</v>
      </c>
      <c r="C209" s="13">
        <f t="shared" si="13"/>
        <v>550000</v>
      </c>
      <c r="G209" s="33">
        <v>6767.0522171697139</v>
      </c>
      <c r="H209" s="13">
        <f t="shared" si="14"/>
        <v>300000</v>
      </c>
      <c r="I209" s="13">
        <f t="shared" si="15"/>
        <v>-26306.34479812003</v>
      </c>
    </row>
    <row r="210" spans="1:9" x14ac:dyDescent="0.25">
      <c r="A210" s="33">
        <v>12685.293130283517</v>
      </c>
      <c r="B210">
        <f t="shared" si="12"/>
        <v>300000</v>
      </c>
      <c r="C210" s="13">
        <f t="shared" si="13"/>
        <v>387970.51911984617</v>
      </c>
      <c r="G210" s="33">
        <v>3685.2931302835168</v>
      </c>
      <c r="H210" s="13">
        <f t="shared" si="14"/>
        <v>184264.65651417585</v>
      </c>
      <c r="I210" s="13">
        <f t="shared" si="15"/>
        <v>-242029.48088015383</v>
      </c>
    </row>
    <row r="211" spans="1:9" x14ac:dyDescent="0.25">
      <c r="A211" s="33">
        <v>12195.623645741141</v>
      </c>
      <c r="B211">
        <f t="shared" si="12"/>
        <v>300000</v>
      </c>
      <c r="C211" s="13">
        <f t="shared" si="13"/>
        <v>353693.65520187991</v>
      </c>
      <c r="G211" s="33">
        <v>3195.6236457411419</v>
      </c>
      <c r="H211" s="13">
        <f t="shared" si="14"/>
        <v>159781.1822870571</v>
      </c>
      <c r="I211" s="13">
        <f t="shared" si="15"/>
        <v>-276306.34479812009</v>
      </c>
    </row>
    <row r="212" spans="1:9" x14ac:dyDescent="0.25">
      <c r="A212" s="33">
        <v>14027.802362132634</v>
      </c>
      <c r="B212">
        <f t="shared" si="12"/>
        <v>300000</v>
      </c>
      <c r="C212" s="13">
        <f t="shared" si="13"/>
        <v>481946.16534928442</v>
      </c>
      <c r="G212" s="33">
        <v>5027.8023621326338</v>
      </c>
      <c r="H212" s="13">
        <f t="shared" si="14"/>
        <v>251390.11810663168</v>
      </c>
      <c r="I212" s="13">
        <f t="shared" si="15"/>
        <v>-148053.83465071564</v>
      </c>
    </row>
    <row r="213" spans="1:9" x14ac:dyDescent="0.25">
      <c r="A213" s="33">
        <v>16462.87423322245</v>
      </c>
      <c r="B213">
        <f t="shared" si="12"/>
        <v>300000</v>
      </c>
      <c r="C213" s="13">
        <f t="shared" si="13"/>
        <v>550000</v>
      </c>
      <c r="G213" s="33">
        <v>7462.8742332224492</v>
      </c>
      <c r="H213" s="13">
        <f t="shared" si="14"/>
        <v>300000</v>
      </c>
      <c r="I213" s="13">
        <f t="shared" si="15"/>
        <v>22401.196325571451</v>
      </c>
    </row>
    <row r="214" spans="1:9" x14ac:dyDescent="0.25">
      <c r="A214" s="33">
        <v>15801.538132877591</v>
      </c>
      <c r="B214">
        <f t="shared" si="12"/>
        <v>300000</v>
      </c>
      <c r="C214" s="13">
        <f t="shared" si="13"/>
        <v>550000</v>
      </c>
      <c r="G214" s="33">
        <v>6801.5381328775911</v>
      </c>
      <c r="H214" s="13">
        <f t="shared" si="14"/>
        <v>300000</v>
      </c>
      <c r="I214" s="13">
        <f t="shared" si="15"/>
        <v>-23892.330698568607</v>
      </c>
    </row>
    <row r="215" spans="1:9" x14ac:dyDescent="0.25">
      <c r="A215" s="33">
        <v>14043.061616870633</v>
      </c>
      <c r="B215">
        <f t="shared" si="12"/>
        <v>300000</v>
      </c>
      <c r="C215" s="13">
        <f t="shared" si="13"/>
        <v>483014.3131809443</v>
      </c>
      <c r="G215" s="33">
        <v>5043.061616870632</v>
      </c>
      <c r="H215" s="13">
        <f t="shared" si="14"/>
        <v>252153.08084353158</v>
      </c>
      <c r="I215" s="13">
        <f t="shared" si="15"/>
        <v>-146985.68681905576</v>
      </c>
    </row>
    <row r="216" spans="1:9" x14ac:dyDescent="0.25">
      <c r="A216" s="33">
        <v>14478.560747093112</v>
      </c>
      <c r="B216">
        <f t="shared" si="12"/>
        <v>300000</v>
      </c>
      <c r="C216" s="13">
        <f t="shared" si="13"/>
        <v>513499.25229651784</v>
      </c>
      <c r="G216" s="33">
        <v>5478.5607470931118</v>
      </c>
      <c r="H216" s="13">
        <f t="shared" si="14"/>
        <v>273928.03735465556</v>
      </c>
      <c r="I216" s="13">
        <f t="shared" si="15"/>
        <v>-116500.74770348216</v>
      </c>
    </row>
    <row r="217" spans="1:9" x14ac:dyDescent="0.25">
      <c r="A217" s="33">
        <v>13391.186254463331</v>
      </c>
      <c r="B217">
        <f t="shared" si="12"/>
        <v>300000</v>
      </c>
      <c r="C217" s="13">
        <f t="shared" si="13"/>
        <v>437383.03781243321</v>
      </c>
      <c r="G217" s="33">
        <v>4391.1862544633314</v>
      </c>
      <c r="H217" s="13">
        <f t="shared" si="14"/>
        <v>219559.31272316657</v>
      </c>
      <c r="I217" s="13">
        <f t="shared" si="15"/>
        <v>-192616.96218756679</v>
      </c>
    </row>
    <row r="218" spans="1:9" x14ac:dyDescent="0.25">
      <c r="A218" s="33">
        <v>16393.597216711936</v>
      </c>
      <c r="B218">
        <f t="shared" si="12"/>
        <v>300000</v>
      </c>
      <c r="C218" s="13">
        <f t="shared" si="13"/>
        <v>550000</v>
      </c>
      <c r="G218" s="33">
        <v>7393.5972167119362</v>
      </c>
      <c r="H218" s="13">
        <f t="shared" si="14"/>
        <v>300000</v>
      </c>
      <c r="I218" s="13">
        <f t="shared" si="15"/>
        <v>17551.805169835512</v>
      </c>
    </row>
    <row r="219" spans="1:9" x14ac:dyDescent="0.25">
      <c r="A219" s="33">
        <v>14472.151860103153</v>
      </c>
      <c r="B219">
        <f t="shared" si="12"/>
        <v>300000</v>
      </c>
      <c r="C219" s="13">
        <f t="shared" si="13"/>
        <v>513050.63020722067</v>
      </c>
      <c r="G219" s="33">
        <v>5472.151860103153</v>
      </c>
      <c r="H219" s="13">
        <f t="shared" si="14"/>
        <v>273607.59300515766</v>
      </c>
      <c r="I219" s="13">
        <f t="shared" si="15"/>
        <v>-116949.36979277927</v>
      </c>
    </row>
    <row r="220" spans="1:9" x14ac:dyDescent="0.25">
      <c r="A220" s="33">
        <v>12561.540574358349</v>
      </c>
      <c r="B220">
        <f t="shared" si="12"/>
        <v>300000</v>
      </c>
      <c r="C220" s="13">
        <f t="shared" si="13"/>
        <v>379307.84020508442</v>
      </c>
      <c r="G220" s="33">
        <v>3561.5405743583483</v>
      </c>
      <c r="H220" s="13">
        <f t="shared" si="14"/>
        <v>178077.02871791742</v>
      </c>
      <c r="I220" s="13">
        <f t="shared" si="15"/>
        <v>-250692.15979491561</v>
      </c>
    </row>
    <row r="221" spans="1:9" x14ac:dyDescent="0.25">
      <c r="A221" s="33">
        <v>13073.030793176062</v>
      </c>
      <c r="B221">
        <f t="shared" si="12"/>
        <v>300000</v>
      </c>
      <c r="C221" s="13">
        <f t="shared" si="13"/>
        <v>415112.15552232438</v>
      </c>
      <c r="G221" s="33">
        <v>4073.0307931760613</v>
      </c>
      <c r="H221" s="13">
        <f t="shared" si="14"/>
        <v>203651.53965880306</v>
      </c>
      <c r="I221" s="13">
        <f t="shared" si="15"/>
        <v>-214887.84447767574</v>
      </c>
    </row>
    <row r="222" spans="1:9" x14ac:dyDescent="0.25">
      <c r="A222" s="33">
        <v>14433.393353068635</v>
      </c>
      <c r="B222">
        <f t="shared" si="12"/>
        <v>300000</v>
      </c>
      <c r="C222" s="13">
        <f t="shared" si="13"/>
        <v>510337.5347148045</v>
      </c>
      <c r="G222" s="33">
        <v>5433.3933530686354</v>
      </c>
      <c r="H222" s="13">
        <f t="shared" si="14"/>
        <v>271669.66765343177</v>
      </c>
      <c r="I222" s="13">
        <f t="shared" si="15"/>
        <v>-119662.4652851955</v>
      </c>
    </row>
    <row r="223" spans="1:9" x14ac:dyDescent="0.25">
      <c r="A223" s="33">
        <v>12466.628009887998</v>
      </c>
      <c r="B223">
        <f t="shared" si="12"/>
        <v>300000</v>
      </c>
      <c r="C223" s="13">
        <f t="shared" si="13"/>
        <v>372663.96069215983</v>
      </c>
      <c r="G223" s="33">
        <v>3466.628009887997</v>
      </c>
      <c r="H223" s="13">
        <f t="shared" si="14"/>
        <v>173331.40049439986</v>
      </c>
      <c r="I223" s="13">
        <f t="shared" si="15"/>
        <v>-257336.0393078402</v>
      </c>
    </row>
    <row r="224" spans="1:9" x14ac:dyDescent="0.25">
      <c r="A224" s="33">
        <v>12128.482924893948</v>
      </c>
      <c r="B224">
        <f t="shared" si="12"/>
        <v>300000</v>
      </c>
      <c r="C224" s="13">
        <f t="shared" si="13"/>
        <v>348993.80474257632</v>
      </c>
      <c r="G224" s="33">
        <v>3128.4829248939482</v>
      </c>
      <c r="H224" s="13">
        <f t="shared" si="14"/>
        <v>156424.14624469742</v>
      </c>
      <c r="I224" s="13">
        <f t="shared" si="15"/>
        <v>-281006.19525742362</v>
      </c>
    </row>
    <row r="225" spans="1:9" x14ac:dyDescent="0.25">
      <c r="A225" s="33">
        <v>14042.451246681112</v>
      </c>
      <c r="B225">
        <f t="shared" si="12"/>
        <v>300000</v>
      </c>
      <c r="C225" s="13">
        <f t="shared" si="13"/>
        <v>482971.58726767788</v>
      </c>
      <c r="G225" s="33">
        <v>5042.451246681112</v>
      </c>
      <c r="H225" s="13">
        <f t="shared" si="14"/>
        <v>252122.5623340556</v>
      </c>
      <c r="I225" s="13">
        <f t="shared" si="15"/>
        <v>-147028.41273232218</v>
      </c>
    </row>
    <row r="226" spans="1:9" x14ac:dyDescent="0.25">
      <c r="A226" s="33">
        <v>16546.800134281442</v>
      </c>
      <c r="B226">
        <f t="shared" si="12"/>
        <v>300000</v>
      </c>
      <c r="C226" s="13">
        <f t="shared" si="13"/>
        <v>550000</v>
      </c>
      <c r="G226" s="33">
        <v>7546.8001342814414</v>
      </c>
      <c r="H226" s="13">
        <f t="shared" si="14"/>
        <v>300000</v>
      </c>
      <c r="I226" s="13">
        <f t="shared" si="15"/>
        <v>28276.00939970091</v>
      </c>
    </row>
    <row r="227" spans="1:9" x14ac:dyDescent="0.25">
      <c r="A227" s="33">
        <v>13962.187566759239</v>
      </c>
      <c r="B227">
        <f t="shared" si="12"/>
        <v>300000</v>
      </c>
      <c r="C227" s="13">
        <f t="shared" si="13"/>
        <v>477353.12967314676</v>
      </c>
      <c r="G227" s="33">
        <v>4962.1875667592394</v>
      </c>
      <c r="H227" s="13">
        <f t="shared" si="14"/>
        <v>248109.37833796197</v>
      </c>
      <c r="I227" s="13">
        <f t="shared" si="15"/>
        <v>-152646.87032685324</v>
      </c>
    </row>
    <row r="228" spans="1:9" x14ac:dyDescent="0.25">
      <c r="A228" s="33">
        <v>15434.247871333964</v>
      </c>
      <c r="B228">
        <f t="shared" si="12"/>
        <v>300000</v>
      </c>
      <c r="C228" s="13">
        <f t="shared" si="13"/>
        <v>550000</v>
      </c>
      <c r="G228" s="33">
        <v>6434.2478713339642</v>
      </c>
      <c r="H228" s="13">
        <f t="shared" si="14"/>
        <v>300000</v>
      </c>
      <c r="I228" s="13">
        <f t="shared" si="15"/>
        <v>-49602.649006622494</v>
      </c>
    </row>
    <row r="229" spans="1:9" x14ac:dyDescent="0.25">
      <c r="A229" s="33">
        <v>16853.205969420454</v>
      </c>
      <c r="B229">
        <f t="shared" si="12"/>
        <v>300000</v>
      </c>
      <c r="C229" s="13">
        <f t="shared" si="13"/>
        <v>550000</v>
      </c>
      <c r="G229" s="33">
        <v>7853.2059694204536</v>
      </c>
      <c r="H229" s="13">
        <f t="shared" si="14"/>
        <v>300000</v>
      </c>
      <c r="I229" s="13">
        <f t="shared" si="15"/>
        <v>49724.417859431705</v>
      </c>
    </row>
    <row r="230" spans="1:9" x14ac:dyDescent="0.25">
      <c r="A230" s="33">
        <v>16622.180852687154</v>
      </c>
      <c r="B230">
        <f t="shared" si="12"/>
        <v>300000</v>
      </c>
      <c r="C230" s="13">
        <f t="shared" si="13"/>
        <v>550000</v>
      </c>
      <c r="G230" s="33">
        <v>7622.1808526871546</v>
      </c>
      <c r="H230" s="13">
        <f t="shared" si="14"/>
        <v>300000</v>
      </c>
      <c r="I230" s="13">
        <f t="shared" si="15"/>
        <v>33552.659688100801</v>
      </c>
    </row>
    <row r="231" spans="1:9" x14ac:dyDescent="0.25">
      <c r="A231" s="33">
        <v>13145.359660634174</v>
      </c>
      <c r="B231">
        <f t="shared" si="12"/>
        <v>300000</v>
      </c>
      <c r="C231" s="13">
        <f t="shared" si="13"/>
        <v>420175.17624439218</v>
      </c>
      <c r="G231" s="33">
        <v>4145.3596606341744</v>
      </c>
      <c r="H231" s="13">
        <f t="shared" si="14"/>
        <v>207267.98303170872</v>
      </c>
      <c r="I231" s="13">
        <f t="shared" si="15"/>
        <v>-209824.82375560782</v>
      </c>
    </row>
    <row r="232" spans="1:9" x14ac:dyDescent="0.25">
      <c r="A232" s="33">
        <v>14861.720633564257</v>
      </c>
      <c r="B232">
        <f t="shared" si="12"/>
        <v>300000</v>
      </c>
      <c r="C232" s="13">
        <f t="shared" si="13"/>
        <v>540320.44434949802</v>
      </c>
      <c r="G232" s="33">
        <v>5861.7206335642568</v>
      </c>
      <c r="H232" s="13">
        <f t="shared" si="14"/>
        <v>293086.03167821286</v>
      </c>
      <c r="I232" s="13">
        <f t="shared" si="15"/>
        <v>-89679.555650502036</v>
      </c>
    </row>
    <row r="233" spans="1:9" x14ac:dyDescent="0.25">
      <c r="A233" s="33">
        <v>12022.888882106998</v>
      </c>
      <c r="B233">
        <f t="shared" si="12"/>
        <v>300000</v>
      </c>
      <c r="C233" s="13">
        <f t="shared" si="13"/>
        <v>341602.22174748988</v>
      </c>
      <c r="G233" s="33">
        <v>3022.8888821069977</v>
      </c>
      <c r="H233" s="13">
        <f t="shared" si="14"/>
        <v>151144.44410534989</v>
      </c>
      <c r="I233" s="13">
        <f t="shared" si="15"/>
        <v>-288397.77825251012</v>
      </c>
    </row>
    <row r="234" spans="1:9" x14ac:dyDescent="0.25">
      <c r="A234" s="33">
        <v>12600.451673940244</v>
      </c>
      <c r="B234">
        <f t="shared" si="12"/>
        <v>300000</v>
      </c>
      <c r="C234" s="13">
        <f t="shared" si="13"/>
        <v>382031.61717581714</v>
      </c>
      <c r="G234" s="33">
        <v>3600.4516739402447</v>
      </c>
      <c r="H234" s="13">
        <f t="shared" si="14"/>
        <v>180022.58369701225</v>
      </c>
      <c r="I234" s="13">
        <f t="shared" si="15"/>
        <v>-247968.38282418286</v>
      </c>
    </row>
    <row r="235" spans="1:9" x14ac:dyDescent="0.25">
      <c r="A235" s="33">
        <v>15209.021271401105</v>
      </c>
      <c r="B235">
        <f t="shared" si="12"/>
        <v>300000</v>
      </c>
      <c r="C235" s="13">
        <f t="shared" si="13"/>
        <v>550000</v>
      </c>
      <c r="G235" s="33">
        <v>6209.021271401105</v>
      </c>
      <c r="H235" s="13">
        <f t="shared" si="14"/>
        <v>300000</v>
      </c>
      <c r="I235" s="13">
        <f t="shared" si="15"/>
        <v>-65368.511001922656</v>
      </c>
    </row>
    <row r="236" spans="1:9" x14ac:dyDescent="0.25">
      <c r="A236" s="33">
        <v>15285.470137638478</v>
      </c>
      <c r="B236">
        <f t="shared" si="12"/>
        <v>300000</v>
      </c>
      <c r="C236" s="13">
        <f t="shared" si="13"/>
        <v>550000</v>
      </c>
      <c r="G236" s="33">
        <v>6285.4701376384783</v>
      </c>
      <c r="H236" s="13">
        <f t="shared" si="14"/>
        <v>300000</v>
      </c>
      <c r="I236" s="13">
        <f t="shared" si="15"/>
        <v>-60017.090365306532</v>
      </c>
    </row>
    <row r="237" spans="1:9" x14ac:dyDescent="0.25">
      <c r="A237" s="33">
        <v>16074.526200140386</v>
      </c>
      <c r="B237">
        <f t="shared" si="12"/>
        <v>300000</v>
      </c>
      <c r="C237" s="13">
        <f t="shared" si="13"/>
        <v>550000</v>
      </c>
      <c r="G237" s="33">
        <v>7074.5262001403853</v>
      </c>
      <c r="H237" s="13">
        <f t="shared" si="14"/>
        <v>300000</v>
      </c>
      <c r="I237" s="13">
        <f t="shared" si="15"/>
        <v>-4783.1659901730018</v>
      </c>
    </row>
    <row r="238" spans="1:9" x14ac:dyDescent="0.25">
      <c r="A238" s="33">
        <v>13979.125339518418</v>
      </c>
      <c r="B238">
        <f t="shared" si="12"/>
        <v>300000</v>
      </c>
      <c r="C238" s="13">
        <f t="shared" si="13"/>
        <v>478538.77376628923</v>
      </c>
      <c r="G238" s="33">
        <v>4979.1253395184176</v>
      </c>
      <c r="H238" s="13">
        <f t="shared" si="14"/>
        <v>248956.26697592088</v>
      </c>
      <c r="I238" s="13">
        <f t="shared" si="15"/>
        <v>-151461.22623371077</v>
      </c>
    </row>
    <row r="239" spans="1:9" x14ac:dyDescent="0.25">
      <c r="A239" s="33">
        <v>16967.040009765922</v>
      </c>
      <c r="B239">
        <f t="shared" si="12"/>
        <v>300000</v>
      </c>
      <c r="C239" s="13">
        <f t="shared" si="13"/>
        <v>550000</v>
      </c>
      <c r="G239" s="33">
        <v>7967.0400097659231</v>
      </c>
      <c r="H239" s="13">
        <f t="shared" si="14"/>
        <v>300000</v>
      </c>
      <c r="I239" s="13">
        <f t="shared" si="15"/>
        <v>57692.800683614565</v>
      </c>
    </row>
    <row r="240" spans="1:9" x14ac:dyDescent="0.25">
      <c r="A240" s="33">
        <v>12847.499008148443</v>
      </c>
      <c r="B240">
        <f t="shared" si="12"/>
        <v>300000</v>
      </c>
      <c r="C240" s="13">
        <f t="shared" si="13"/>
        <v>399324.93057039101</v>
      </c>
      <c r="G240" s="33">
        <v>3847.499008148442</v>
      </c>
      <c r="H240" s="13">
        <f t="shared" si="14"/>
        <v>192374.95040742209</v>
      </c>
      <c r="I240" s="13">
        <f t="shared" si="15"/>
        <v>-230675.06942960905</v>
      </c>
    </row>
    <row r="241" spans="1:9" x14ac:dyDescent="0.25">
      <c r="A241" s="33">
        <v>13327.860347300637</v>
      </c>
      <c r="B241">
        <f t="shared" si="12"/>
        <v>300000</v>
      </c>
      <c r="C241" s="13">
        <f t="shared" si="13"/>
        <v>432950.22431104456</v>
      </c>
      <c r="G241" s="33">
        <v>4327.8603473006378</v>
      </c>
      <c r="H241" s="13">
        <f t="shared" si="14"/>
        <v>216393.0173650319</v>
      </c>
      <c r="I241" s="13">
        <f t="shared" si="15"/>
        <v>-197049.77568895533</v>
      </c>
    </row>
    <row r="242" spans="1:9" x14ac:dyDescent="0.25">
      <c r="A242" s="33">
        <v>12057.985168004394</v>
      </c>
      <c r="B242">
        <f t="shared" si="12"/>
        <v>300000</v>
      </c>
      <c r="C242" s="13">
        <f t="shared" si="13"/>
        <v>344058.96176030755</v>
      </c>
      <c r="G242" s="33">
        <v>3057.9851680043948</v>
      </c>
      <c r="H242" s="13">
        <f t="shared" si="14"/>
        <v>152899.25840021975</v>
      </c>
      <c r="I242" s="13">
        <f t="shared" si="15"/>
        <v>-285941.03823969234</v>
      </c>
    </row>
    <row r="243" spans="1:9" x14ac:dyDescent="0.25">
      <c r="A243" s="33">
        <v>14238.227484969633</v>
      </c>
      <c r="B243">
        <f t="shared" si="12"/>
        <v>300000</v>
      </c>
      <c r="C243" s="13">
        <f t="shared" si="13"/>
        <v>496675.92394787434</v>
      </c>
      <c r="G243" s="33">
        <v>5238.2274849696341</v>
      </c>
      <c r="H243" s="13">
        <f t="shared" si="14"/>
        <v>261911.3742484817</v>
      </c>
      <c r="I243" s="13">
        <f t="shared" si="15"/>
        <v>-133324.0760521256</v>
      </c>
    </row>
    <row r="244" spans="1:9" x14ac:dyDescent="0.25">
      <c r="A244" s="33">
        <v>13432.996612445448</v>
      </c>
      <c r="B244">
        <f t="shared" si="12"/>
        <v>300000</v>
      </c>
      <c r="C244" s="13">
        <f t="shared" si="13"/>
        <v>440309.76287118136</v>
      </c>
      <c r="G244" s="33">
        <v>4432.9966124454477</v>
      </c>
      <c r="H244" s="13">
        <f t="shared" si="14"/>
        <v>221649.83062227239</v>
      </c>
      <c r="I244" s="13">
        <f t="shared" si="15"/>
        <v>-189690.23712881864</v>
      </c>
    </row>
    <row r="245" spans="1:9" x14ac:dyDescent="0.25">
      <c r="A245" s="33">
        <v>13601.458784752953</v>
      </c>
      <c r="B245">
        <f t="shared" si="12"/>
        <v>300000</v>
      </c>
      <c r="C245" s="13">
        <f t="shared" si="13"/>
        <v>452102.1149327067</v>
      </c>
      <c r="G245" s="33">
        <v>4601.4587847529529</v>
      </c>
      <c r="H245" s="13">
        <f t="shared" si="14"/>
        <v>230072.93923764763</v>
      </c>
      <c r="I245" s="13">
        <f t="shared" si="15"/>
        <v>-177897.8850672933</v>
      </c>
    </row>
    <row r="246" spans="1:9" x14ac:dyDescent="0.25">
      <c r="A246" s="33">
        <v>12462.813196203497</v>
      </c>
      <c r="B246">
        <f t="shared" si="12"/>
        <v>300000</v>
      </c>
      <c r="C246" s="13">
        <f t="shared" si="13"/>
        <v>372396.92373424477</v>
      </c>
      <c r="G246" s="33">
        <v>3462.8131962034977</v>
      </c>
      <c r="H246" s="13">
        <f t="shared" si="14"/>
        <v>173140.6598101749</v>
      </c>
      <c r="I246" s="13">
        <f t="shared" si="15"/>
        <v>-257603.07626575517</v>
      </c>
    </row>
    <row r="247" spans="1:9" x14ac:dyDescent="0.25">
      <c r="A247" s="33">
        <v>12404.522843104343</v>
      </c>
      <c r="B247">
        <f t="shared" si="12"/>
        <v>300000</v>
      </c>
      <c r="C247" s="13">
        <f t="shared" si="13"/>
        <v>368316.59901730402</v>
      </c>
      <c r="G247" s="33">
        <v>3404.5228431043429</v>
      </c>
      <c r="H247" s="13">
        <f t="shared" si="14"/>
        <v>170226.14215521715</v>
      </c>
      <c r="I247" s="13">
        <f t="shared" si="15"/>
        <v>-261683.40098269601</v>
      </c>
    </row>
    <row r="248" spans="1:9" x14ac:dyDescent="0.25">
      <c r="A248" s="33">
        <v>16622.638630329297</v>
      </c>
      <c r="B248">
        <f t="shared" si="12"/>
        <v>300000</v>
      </c>
      <c r="C248" s="13">
        <f t="shared" si="13"/>
        <v>550000</v>
      </c>
      <c r="G248" s="33">
        <v>7622.6386303292948</v>
      </c>
      <c r="H248" s="13">
        <f t="shared" si="14"/>
        <v>300000</v>
      </c>
      <c r="I248" s="13">
        <f t="shared" si="15"/>
        <v>33584.704123050673</v>
      </c>
    </row>
    <row r="249" spans="1:9" x14ac:dyDescent="0.25">
      <c r="A249" s="33">
        <v>13476.943266090884</v>
      </c>
      <c r="B249">
        <f t="shared" si="12"/>
        <v>300000</v>
      </c>
      <c r="C249" s="13">
        <f t="shared" si="13"/>
        <v>443386.02862636186</v>
      </c>
      <c r="G249" s="33">
        <v>4476.9432660908842</v>
      </c>
      <c r="H249" s="13">
        <f t="shared" si="14"/>
        <v>223847.1633045442</v>
      </c>
      <c r="I249" s="13">
        <f t="shared" si="15"/>
        <v>-186613.97137363808</v>
      </c>
    </row>
    <row r="250" spans="1:9" x14ac:dyDescent="0.25">
      <c r="A250" s="33">
        <v>16974.059266945402</v>
      </c>
      <c r="B250">
        <f t="shared" si="12"/>
        <v>300000</v>
      </c>
      <c r="C250" s="13">
        <f t="shared" si="13"/>
        <v>550000</v>
      </c>
      <c r="G250" s="33">
        <v>7974.0592669454027</v>
      </c>
      <c r="H250" s="13">
        <f t="shared" si="14"/>
        <v>300000</v>
      </c>
      <c r="I250" s="13">
        <f t="shared" si="15"/>
        <v>58184.148686178145</v>
      </c>
    </row>
    <row r="251" spans="1:9" x14ac:dyDescent="0.25">
      <c r="A251" s="33">
        <v>14046.723838007752</v>
      </c>
      <c r="B251">
        <f t="shared" si="12"/>
        <v>300000</v>
      </c>
      <c r="C251" s="13">
        <f t="shared" si="13"/>
        <v>483270.66866054269</v>
      </c>
      <c r="G251" s="33">
        <v>5046.7238380077515</v>
      </c>
      <c r="H251" s="13">
        <f t="shared" si="14"/>
        <v>252336.19190038758</v>
      </c>
      <c r="I251" s="13">
        <f t="shared" si="15"/>
        <v>-146729.33133945742</v>
      </c>
    </row>
    <row r="252" spans="1:9" x14ac:dyDescent="0.25">
      <c r="A252" s="33">
        <v>13406.44550920133</v>
      </c>
      <c r="B252">
        <f t="shared" si="12"/>
        <v>300000</v>
      </c>
      <c r="C252" s="13">
        <f t="shared" si="13"/>
        <v>438451.18564409309</v>
      </c>
      <c r="G252" s="33">
        <v>4406.4455092013304</v>
      </c>
      <c r="H252" s="13">
        <f t="shared" si="14"/>
        <v>220322.27546006651</v>
      </c>
      <c r="I252" s="13">
        <f t="shared" si="15"/>
        <v>-191548.81435590686</v>
      </c>
    </row>
    <row r="253" spans="1:9" x14ac:dyDescent="0.25">
      <c r="A253" s="33">
        <v>16285.714285714286</v>
      </c>
      <c r="B253">
        <f t="shared" si="12"/>
        <v>300000</v>
      </c>
      <c r="C253" s="13">
        <f t="shared" si="13"/>
        <v>550000</v>
      </c>
      <c r="G253" s="33">
        <v>7285.7142857142853</v>
      </c>
      <c r="H253" s="13">
        <f t="shared" si="14"/>
        <v>300000</v>
      </c>
      <c r="I253" s="13">
        <f t="shared" si="15"/>
        <v>10000</v>
      </c>
    </row>
    <row r="254" spans="1:9" x14ac:dyDescent="0.25">
      <c r="A254" s="33">
        <v>14193.823053682059</v>
      </c>
      <c r="B254">
        <f t="shared" si="12"/>
        <v>300000</v>
      </c>
      <c r="C254" s="13">
        <f t="shared" si="13"/>
        <v>493567.6137577442</v>
      </c>
      <c r="G254" s="33">
        <v>5193.8230536820583</v>
      </c>
      <c r="H254" s="13">
        <f t="shared" si="14"/>
        <v>259691.15268410291</v>
      </c>
      <c r="I254" s="13">
        <f t="shared" si="15"/>
        <v>-136432.38624225592</v>
      </c>
    </row>
    <row r="255" spans="1:9" x14ac:dyDescent="0.25">
      <c r="A255" s="33">
        <v>15068.788720358898</v>
      </c>
      <c r="B255">
        <f t="shared" si="12"/>
        <v>300000</v>
      </c>
      <c r="C255" s="13">
        <f t="shared" si="13"/>
        <v>550000</v>
      </c>
      <c r="G255" s="33">
        <v>6068.788720358898</v>
      </c>
      <c r="H255" s="13">
        <f t="shared" si="14"/>
        <v>300000</v>
      </c>
      <c r="I255" s="13">
        <f t="shared" si="15"/>
        <v>-75184.789574877126</v>
      </c>
    </row>
    <row r="256" spans="1:9" x14ac:dyDescent="0.25">
      <c r="A256" s="33">
        <v>13437.726981414227</v>
      </c>
      <c r="B256">
        <f t="shared" si="12"/>
        <v>300000</v>
      </c>
      <c r="C256" s="13">
        <f t="shared" si="13"/>
        <v>440640.88869899593</v>
      </c>
      <c r="G256" s="33">
        <v>4437.7269814142273</v>
      </c>
      <c r="H256" s="13">
        <f t="shared" si="14"/>
        <v>221886.34907071135</v>
      </c>
      <c r="I256" s="13">
        <f t="shared" si="15"/>
        <v>-189359.11130100407</v>
      </c>
    </row>
    <row r="257" spans="1:9" x14ac:dyDescent="0.25">
      <c r="A257" s="33">
        <v>13471.144749290444</v>
      </c>
      <c r="B257">
        <f t="shared" si="12"/>
        <v>300000</v>
      </c>
      <c r="C257" s="13">
        <f t="shared" si="13"/>
        <v>442980.13245033112</v>
      </c>
      <c r="G257" s="33">
        <v>4471.1447492904445</v>
      </c>
      <c r="H257" s="13">
        <f t="shared" si="14"/>
        <v>223557.23746452222</v>
      </c>
      <c r="I257" s="13">
        <f t="shared" si="15"/>
        <v>-187019.86754966888</v>
      </c>
    </row>
    <row r="258" spans="1:9" x14ac:dyDescent="0.25">
      <c r="A258" s="33">
        <v>16082.918790246284</v>
      </c>
      <c r="B258">
        <f t="shared" si="12"/>
        <v>300000</v>
      </c>
      <c r="C258" s="13">
        <f t="shared" si="13"/>
        <v>550000</v>
      </c>
      <c r="G258" s="33">
        <v>7082.9187902462845</v>
      </c>
      <c r="H258" s="13">
        <f t="shared" si="14"/>
        <v>300000</v>
      </c>
      <c r="I258" s="13">
        <f t="shared" si="15"/>
        <v>-4195.6846827600966</v>
      </c>
    </row>
    <row r="259" spans="1:9" x14ac:dyDescent="0.25">
      <c r="A259" s="33">
        <v>13214.789269692068</v>
      </c>
      <c r="B259">
        <f t="shared" si="12"/>
        <v>300000</v>
      </c>
      <c r="C259" s="13">
        <f t="shared" si="13"/>
        <v>425035.24887844478</v>
      </c>
      <c r="G259" s="33">
        <v>4214.789269692068</v>
      </c>
      <c r="H259" s="13">
        <f t="shared" si="14"/>
        <v>210739.46348460339</v>
      </c>
      <c r="I259" s="13">
        <f t="shared" si="15"/>
        <v>-204964.75112155522</v>
      </c>
    </row>
    <row r="260" spans="1:9" x14ac:dyDescent="0.25">
      <c r="A260" s="33">
        <v>15108.767967772454</v>
      </c>
      <c r="B260">
        <f t="shared" si="12"/>
        <v>300000</v>
      </c>
      <c r="C260" s="13">
        <f t="shared" si="13"/>
        <v>550000</v>
      </c>
      <c r="G260" s="33">
        <v>6108.7679677724536</v>
      </c>
      <c r="H260" s="13">
        <f t="shared" si="14"/>
        <v>300000</v>
      </c>
      <c r="I260" s="13">
        <f t="shared" si="15"/>
        <v>-72386.242255928228</v>
      </c>
    </row>
    <row r="261" spans="1:9" x14ac:dyDescent="0.25">
      <c r="A261" s="33">
        <v>12485.549485763115</v>
      </c>
      <c r="B261">
        <f t="shared" si="12"/>
        <v>300000</v>
      </c>
      <c r="C261" s="13">
        <f t="shared" si="13"/>
        <v>373988.46400341799</v>
      </c>
      <c r="G261" s="33">
        <v>3485.5494857631152</v>
      </c>
      <c r="H261" s="13">
        <f t="shared" si="14"/>
        <v>174277.47428815576</v>
      </c>
      <c r="I261" s="13">
        <f t="shared" si="15"/>
        <v>-256011.53599658195</v>
      </c>
    </row>
    <row r="262" spans="1:9" x14ac:dyDescent="0.25">
      <c r="A262" s="33">
        <v>14896.816919461653</v>
      </c>
      <c r="B262">
        <f t="shared" si="12"/>
        <v>300000</v>
      </c>
      <c r="C262" s="13">
        <f t="shared" si="13"/>
        <v>542777.18436231569</v>
      </c>
      <c r="G262" s="33">
        <v>5896.816919461653</v>
      </c>
      <c r="H262" s="13">
        <f t="shared" si="14"/>
        <v>294840.84597308264</v>
      </c>
      <c r="I262" s="13">
        <f t="shared" si="15"/>
        <v>-87222.815637684311</v>
      </c>
    </row>
    <row r="263" spans="1:9" x14ac:dyDescent="0.25">
      <c r="A263" s="33">
        <v>15382.671590319529</v>
      </c>
      <c r="B263">
        <f t="shared" si="12"/>
        <v>300000</v>
      </c>
      <c r="C263" s="13">
        <f t="shared" si="13"/>
        <v>550000</v>
      </c>
      <c r="G263" s="33">
        <v>6382.6715903195291</v>
      </c>
      <c r="H263" s="13">
        <f t="shared" si="14"/>
        <v>300000</v>
      </c>
      <c r="I263" s="13">
        <f t="shared" si="15"/>
        <v>-53212.988677632995</v>
      </c>
    </row>
    <row r="264" spans="1:9" x14ac:dyDescent="0.25">
      <c r="A264" s="33">
        <v>14231.055635242774</v>
      </c>
      <c r="B264">
        <f t="shared" si="12"/>
        <v>300000</v>
      </c>
      <c r="C264" s="13">
        <f t="shared" si="13"/>
        <v>496173.89446699421</v>
      </c>
      <c r="G264" s="33">
        <v>5231.0556352427748</v>
      </c>
      <c r="H264" s="13">
        <f t="shared" si="14"/>
        <v>261552.78176213874</v>
      </c>
      <c r="I264" s="13">
        <f t="shared" si="15"/>
        <v>-133826.10553300579</v>
      </c>
    </row>
    <row r="265" spans="1:9" x14ac:dyDescent="0.25">
      <c r="A265" s="33">
        <v>13875.209814752647</v>
      </c>
      <c r="B265">
        <f t="shared" si="12"/>
        <v>300000</v>
      </c>
      <c r="C265" s="13">
        <f t="shared" si="13"/>
        <v>471264.68703268527</v>
      </c>
      <c r="G265" s="33">
        <v>4875.2098147526476</v>
      </c>
      <c r="H265" s="13">
        <f t="shared" si="14"/>
        <v>243760.49073763238</v>
      </c>
      <c r="I265" s="13">
        <f t="shared" si="15"/>
        <v>-158735.31296731468</v>
      </c>
    </row>
    <row r="266" spans="1:9" x14ac:dyDescent="0.25">
      <c r="A266" s="33">
        <v>12554.06353953673</v>
      </c>
      <c r="B266">
        <f t="shared" si="12"/>
        <v>300000</v>
      </c>
      <c r="C266" s="13">
        <f t="shared" si="13"/>
        <v>378784.44776757108</v>
      </c>
      <c r="G266" s="33">
        <v>3554.063539536729</v>
      </c>
      <c r="H266" s="13">
        <f t="shared" si="14"/>
        <v>177703.17697683646</v>
      </c>
      <c r="I266" s="13">
        <f t="shared" si="15"/>
        <v>-251215.55223242898</v>
      </c>
    </row>
    <row r="267" spans="1:9" x14ac:dyDescent="0.25">
      <c r="A267" s="33">
        <v>12645.466475417341</v>
      </c>
      <c r="B267">
        <f t="shared" ref="B267:B330" si="16">MIN(A267,6000)*50</f>
        <v>300000</v>
      </c>
      <c r="C267" s="13">
        <f t="shared" ref="C267:C330" si="17">MIN(A267,$C$3)*$C$6-500000</f>
        <v>385182.65327921382</v>
      </c>
      <c r="G267" s="33">
        <v>3645.4664754173405</v>
      </c>
      <c r="H267" s="13">
        <f t="shared" ref="H267:H330" si="18">MIN(G267,6000)*50</f>
        <v>182273.32377086702</v>
      </c>
      <c r="I267" s="13">
        <f t="shared" ref="I267:I330" si="19">MIN(G267,15000)*70-500000</f>
        <v>-244817.34672078615</v>
      </c>
    </row>
    <row r="268" spans="1:9" x14ac:dyDescent="0.25">
      <c r="A268" s="33">
        <v>14600.02441480758</v>
      </c>
      <c r="B268">
        <f t="shared" si="16"/>
        <v>300000</v>
      </c>
      <c r="C268" s="13">
        <f t="shared" si="17"/>
        <v>522001.70903653058</v>
      </c>
      <c r="G268" s="33">
        <v>5600.0244148075808</v>
      </c>
      <c r="H268" s="13">
        <f t="shared" si="18"/>
        <v>280001.22074037907</v>
      </c>
      <c r="I268" s="13">
        <f t="shared" si="19"/>
        <v>-107998.29096346936</v>
      </c>
    </row>
    <row r="269" spans="1:9" x14ac:dyDescent="0.25">
      <c r="A269" s="33">
        <v>12711.539048432875</v>
      </c>
      <c r="B269">
        <f t="shared" si="16"/>
        <v>300000</v>
      </c>
      <c r="C269" s="13">
        <f t="shared" si="17"/>
        <v>389807.73339030123</v>
      </c>
      <c r="G269" s="33">
        <v>3711.5390484328746</v>
      </c>
      <c r="H269" s="13">
        <f t="shared" si="18"/>
        <v>185576.95242164371</v>
      </c>
      <c r="I269" s="13">
        <f t="shared" si="19"/>
        <v>-240192.26660969877</v>
      </c>
    </row>
    <row r="270" spans="1:9" x14ac:dyDescent="0.25">
      <c r="A270" s="33">
        <v>16967.497787408065</v>
      </c>
      <c r="B270">
        <f t="shared" si="16"/>
        <v>300000</v>
      </c>
      <c r="C270" s="13">
        <f t="shared" si="17"/>
        <v>550000</v>
      </c>
      <c r="G270" s="33">
        <v>7967.4977874080632</v>
      </c>
      <c r="H270" s="13">
        <f t="shared" si="18"/>
        <v>300000</v>
      </c>
      <c r="I270" s="13">
        <f t="shared" si="19"/>
        <v>57724.845118564437</v>
      </c>
    </row>
    <row r="271" spans="1:9" x14ac:dyDescent="0.25">
      <c r="A271" s="33">
        <v>14382.427442243721</v>
      </c>
      <c r="B271">
        <f t="shared" si="16"/>
        <v>300000</v>
      </c>
      <c r="C271" s="13">
        <f t="shared" si="17"/>
        <v>506769.92095706053</v>
      </c>
      <c r="G271" s="33">
        <v>5382.4274422437211</v>
      </c>
      <c r="H271" s="13">
        <f t="shared" si="18"/>
        <v>269121.37211218604</v>
      </c>
      <c r="I271" s="13">
        <f t="shared" si="19"/>
        <v>-123230.07904293953</v>
      </c>
    </row>
    <row r="272" spans="1:9" x14ac:dyDescent="0.25">
      <c r="A272" s="33">
        <v>16225.287636951811</v>
      </c>
      <c r="B272">
        <f t="shared" si="16"/>
        <v>300000</v>
      </c>
      <c r="C272" s="13">
        <f t="shared" si="17"/>
        <v>550000</v>
      </c>
      <c r="G272" s="33">
        <v>7225.2876369518108</v>
      </c>
      <c r="H272" s="13">
        <f t="shared" si="18"/>
        <v>300000</v>
      </c>
      <c r="I272" s="13">
        <f t="shared" si="19"/>
        <v>5770.1345866267802</v>
      </c>
    </row>
    <row r="273" spans="1:9" x14ac:dyDescent="0.25">
      <c r="A273" s="33">
        <v>12024.567400128179</v>
      </c>
      <c r="B273">
        <f t="shared" si="16"/>
        <v>300000</v>
      </c>
      <c r="C273" s="13">
        <f t="shared" si="17"/>
        <v>341719.71800897247</v>
      </c>
      <c r="G273" s="33">
        <v>3024.5674001281777</v>
      </c>
      <c r="H273" s="13">
        <f t="shared" si="18"/>
        <v>151228.37000640889</v>
      </c>
      <c r="I273" s="13">
        <f t="shared" si="19"/>
        <v>-288280.28199102753</v>
      </c>
    </row>
    <row r="274" spans="1:9" x14ac:dyDescent="0.25">
      <c r="A274" s="33">
        <v>12369.426557206945</v>
      </c>
      <c r="B274">
        <f t="shared" si="16"/>
        <v>300000</v>
      </c>
      <c r="C274" s="13">
        <f t="shared" si="17"/>
        <v>365859.85900448612</v>
      </c>
      <c r="G274" s="33">
        <v>3369.4265572069462</v>
      </c>
      <c r="H274" s="13">
        <f t="shared" si="18"/>
        <v>168471.32786034732</v>
      </c>
      <c r="I274" s="13">
        <f t="shared" si="19"/>
        <v>-264140.14099551376</v>
      </c>
    </row>
    <row r="275" spans="1:9" x14ac:dyDescent="0.25">
      <c r="A275" s="33">
        <v>15427.838984344005</v>
      </c>
      <c r="B275">
        <f t="shared" si="16"/>
        <v>300000</v>
      </c>
      <c r="C275" s="13">
        <f t="shared" si="17"/>
        <v>550000</v>
      </c>
      <c r="G275" s="33">
        <v>6427.8389843440054</v>
      </c>
      <c r="H275" s="13">
        <f t="shared" si="18"/>
        <v>300000</v>
      </c>
      <c r="I275" s="13">
        <f t="shared" si="19"/>
        <v>-50051.271095919597</v>
      </c>
    </row>
    <row r="276" spans="1:9" x14ac:dyDescent="0.25">
      <c r="A276" s="33">
        <v>14508.774071474349</v>
      </c>
      <c r="B276">
        <f t="shared" si="16"/>
        <v>300000</v>
      </c>
      <c r="C276" s="13">
        <f t="shared" si="17"/>
        <v>515614.18500320439</v>
      </c>
      <c r="G276" s="33">
        <v>5508.7740714743486</v>
      </c>
      <c r="H276" s="13">
        <f t="shared" si="18"/>
        <v>275438.70357371744</v>
      </c>
      <c r="I276" s="13">
        <f t="shared" si="19"/>
        <v>-114385.81499679561</v>
      </c>
    </row>
    <row r="277" spans="1:9" x14ac:dyDescent="0.25">
      <c r="A277" s="33">
        <v>13394.543290505691</v>
      </c>
      <c r="B277">
        <f t="shared" si="16"/>
        <v>300000</v>
      </c>
      <c r="C277" s="13">
        <f t="shared" si="17"/>
        <v>437618.03033539839</v>
      </c>
      <c r="G277" s="33">
        <v>4394.5432905056914</v>
      </c>
      <c r="H277" s="13">
        <f t="shared" si="18"/>
        <v>219727.16452528458</v>
      </c>
      <c r="I277" s="13">
        <f t="shared" si="19"/>
        <v>-192381.96966460161</v>
      </c>
    </row>
    <row r="278" spans="1:9" x14ac:dyDescent="0.25">
      <c r="A278" s="33">
        <v>13163.060396130253</v>
      </c>
      <c r="B278">
        <f t="shared" si="16"/>
        <v>300000</v>
      </c>
      <c r="C278" s="13">
        <f t="shared" si="17"/>
        <v>421414.22772911773</v>
      </c>
      <c r="G278" s="33">
        <v>4163.0603961302531</v>
      </c>
      <c r="H278" s="13">
        <f t="shared" si="18"/>
        <v>208153.01980651266</v>
      </c>
      <c r="I278" s="13">
        <f t="shared" si="19"/>
        <v>-208585.77227088227</v>
      </c>
    </row>
    <row r="279" spans="1:9" x14ac:dyDescent="0.25">
      <c r="A279" s="33">
        <v>12643.78795739616</v>
      </c>
      <c r="B279">
        <f t="shared" si="16"/>
        <v>300000</v>
      </c>
      <c r="C279" s="13">
        <f t="shared" si="17"/>
        <v>385065.15701773122</v>
      </c>
      <c r="G279" s="33">
        <v>3643.7879573961609</v>
      </c>
      <c r="H279" s="13">
        <f t="shared" si="18"/>
        <v>182189.39786980805</v>
      </c>
      <c r="I279" s="13">
        <f t="shared" si="19"/>
        <v>-244934.84298226875</v>
      </c>
    </row>
    <row r="280" spans="1:9" x14ac:dyDescent="0.25">
      <c r="A280" s="33">
        <v>16150.82247383038</v>
      </c>
      <c r="B280">
        <f t="shared" si="16"/>
        <v>300000</v>
      </c>
      <c r="C280" s="13">
        <f t="shared" si="17"/>
        <v>550000</v>
      </c>
      <c r="G280" s="33">
        <v>7150.8224738303788</v>
      </c>
      <c r="H280" s="13">
        <f t="shared" si="18"/>
        <v>300000</v>
      </c>
      <c r="I280" s="13">
        <f t="shared" si="19"/>
        <v>557.57316812651698</v>
      </c>
    </row>
    <row r="281" spans="1:9" x14ac:dyDescent="0.25">
      <c r="A281" s="33">
        <v>12357.219153416547</v>
      </c>
      <c r="B281">
        <f t="shared" si="16"/>
        <v>300000</v>
      </c>
      <c r="C281" s="13">
        <f t="shared" si="17"/>
        <v>365005.34073915822</v>
      </c>
      <c r="G281" s="33">
        <v>3357.2191534165472</v>
      </c>
      <c r="H281" s="13">
        <f t="shared" si="18"/>
        <v>167860.95767082737</v>
      </c>
      <c r="I281" s="13">
        <f t="shared" si="19"/>
        <v>-264994.65926084167</v>
      </c>
    </row>
    <row r="282" spans="1:9" x14ac:dyDescent="0.25">
      <c r="A282" s="33">
        <v>13328.470717490158</v>
      </c>
      <c r="B282">
        <f t="shared" si="16"/>
        <v>300000</v>
      </c>
      <c r="C282" s="13">
        <f t="shared" si="17"/>
        <v>432992.95022431109</v>
      </c>
      <c r="G282" s="33">
        <v>4328.4707174901578</v>
      </c>
      <c r="H282" s="13">
        <f t="shared" si="18"/>
        <v>216423.53587450788</v>
      </c>
      <c r="I282" s="13">
        <f t="shared" si="19"/>
        <v>-197007.04977568897</v>
      </c>
    </row>
    <row r="283" spans="1:9" x14ac:dyDescent="0.25">
      <c r="A283" s="33">
        <v>14824.182866908781</v>
      </c>
      <c r="B283">
        <f t="shared" si="16"/>
        <v>300000</v>
      </c>
      <c r="C283" s="13">
        <f t="shared" si="17"/>
        <v>537692.80068361468</v>
      </c>
      <c r="G283" s="33">
        <v>5824.1828669087809</v>
      </c>
      <c r="H283" s="13">
        <f t="shared" si="18"/>
        <v>291209.14334543905</v>
      </c>
      <c r="I283" s="13">
        <f t="shared" si="19"/>
        <v>-92307.199316385319</v>
      </c>
    </row>
    <row r="284" spans="1:9" x14ac:dyDescent="0.25">
      <c r="A284" s="33">
        <v>15066.652424695578</v>
      </c>
      <c r="B284">
        <f t="shared" si="16"/>
        <v>300000</v>
      </c>
      <c r="C284" s="13">
        <f t="shared" si="17"/>
        <v>550000</v>
      </c>
      <c r="G284" s="33">
        <v>6066.6524246955778</v>
      </c>
      <c r="H284" s="13">
        <f t="shared" si="18"/>
        <v>300000</v>
      </c>
      <c r="I284" s="13">
        <f t="shared" si="19"/>
        <v>-75334.330271309533</v>
      </c>
    </row>
    <row r="285" spans="1:9" x14ac:dyDescent="0.25">
      <c r="A285" s="33">
        <v>13781.365398113956</v>
      </c>
      <c r="B285">
        <f t="shared" si="16"/>
        <v>300000</v>
      </c>
      <c r="C285" s="13">
        <f t="shared" si="17"/>
        <v>464695.57786797697</v>
      </c>
      <c r="G285" s="33">
        <v>4781.365398113956</v>
      </c>
      <c r="H285" s="13">
        <f t="shared" si="18"/>
        <v>239068.26990569779</v>
      </c>
      <c r="I285" s="13">
        <f t="shared" si="19"/>
        <v>-165304.42213202309</v>
      </c>
    </row>
    <row r="286" spans="1:9" x14ac:dyDescent="0.25">
      <c r="A286" s="33">
        <v>15919.33957945494</v>
      </c>
      <c r="B286">
        <f t="shared" si="16"/>
        <v>300000</v>
      </c>
      <c r="C286" s="13">
        <f t="shared" si="17"/>
        <v>550000</v>
      </c>
      <c r="G286" s="33">
        <v>6919.3395794549397</v>
      </c>
      <c r="H286" s="13">
        <f t="shared" si="18"/>
        <v>300000</v>
      </c>
      <c r="I286" s="13">
        <f t="shared" si="19"/>
        <v>-15646.229438154201</v>
      </c>
    </row>
    <row r="287" spans="1:9" x14ac:dyDescent="0.25">
      <c r="A287" s="33">
        <v>12332.193975646229</v>
      </c>
      <c r="B287">
        <f t="shared" si="16"/>
        <v>300000</v>
      </c>
      <c r="C287" s="13">
        <f t="shared" si="17"/>
        <v>363253.57829523599</v>
      </c>
      <c r="G287" s="33">
        <v>3332.1939756462293</v>
      </c>
      <c r="H287" s="13">
        <f t="shared" si="18"/>
        <v>166609.69878231146</v>
      </c>
      <c r="I287" s="13">
        <f t="shared" si="19"/>
        <v>-266746.42170476395</v>
      </c>
    </row>
    <row r="288" spans="1:9" x14ac:dyDescent="0.25">
      <c r="A288" s="33">
        <v>14092.959379863887</v>
      </c>
      <c r="B288">
        <f t="shared" si="16"/>
        <v>300000</v>
      </c>
      <c r="C288" s="13">
        <f t="shared" si="17"/>
        <v>486507.15659047209</v>
      </c>
      <c r="G288" s="33">
        <v>5092.9593798638871</v>
      </c>
      <c r="H288" s="13">
        <f t="shared" si="18"/>
        <v>254647.96899319434</v>
      </c>
      <c r="I288" s="13">
        <f t="shared" si="19"/>
        <v>-143492.84340952791</v>
      </c>
    </row>
    <row r="289" spans="1:9" x14ac:dyDescent="0.25">
      <c r="A289" s="33">
        <v>14871.181371501816</v>
      </c>
      <c r="B289">
        <f t="shared" si="16"/>
        <v>300000</v>
      </c>
      <c r="C289" s="13">
        <f t="shared" si="17"/>
        <v>540982.69600512716</v>
      </c>
      <c r="G289" s="33">
        <v>5871.1813715018161</v>
      </c>
      <c r="H289" s="13">
        <f t="shared" si="18"/>
        <v>293559.06857509079</v>
      </c>
      <c r="I289" s="13">
        <f t="shared" si="19"/>
        <v>-89017.303994872898</v>
      </c>
    </row>
    <row r="290" spans="1:9" x14ac:dyDescent="0.25">
      <c r="A290" s="33">
        <v>14676.015503402814</v>
      </c>
      <c r="B290">
        <f t="shared" si="16"/>
        <v>300000</v>
      </c>
      <c r="C290" s="13">
        <f t="shared" si="17"/>
        <v>527321.085238197</v>
      </c>
      <c r="G290" s="33">
        <v>5676.0155034028139</v>
      </c>
      <c r="H290" s="13">
        <f t="shared" si="18"/>
        <v>283800.77517014067</v>
      </c>
      <c r="I290" s="13">
        <f t="shared" si="19"/>
        <v>-102678.914761803</v>
      </c>
    </row>
    <row r="291" spans="1:9" x14ac:dyDescent="0.25">
      <c r="A291" s="33">
        <v>15384.502700888088</v>
      </c>
      <c r="B291">
        <f t="shared" si="16"/>
        <v>300000</v>
      </c>
      <c r="C291" s="13">
        <f t="shared" si="17"/>
        <v>550000</v>
      </c>
      <c r="G291" s="33">
        <v>6384.5027008880879</v>
      </c>
      <c r="H291" s="13">
        <f t="shared" si="18"/>
        <v>300000</v>
      </c>
      <c r="I291" s="13">
        <f t="shared" si="19"/>
        <v>-53084.810937833856</v>
      </c>
    </row>
    <row r="292" spans="1:9" x14ac:dyDescent="0.25">
      <c r="A292" s="33">
        <v>15768.425550096134</v>
      </c>
      <c r="B292">
        <f t="shared" si="16"/>
        <v>300000</v>
      </c>
      <c r="C292" s="13">
        <f t="shared" si="17"/>
        <v>550000</v>
      </c>
      <c r="G292" s="33">
        <v>6768.4255500961335</v>
      </c>
      <c r="H292" s="13">
        <f t="shared" si="18"/>
        <v>300000</v>
      </c>
      <c r="I292" s="13">
        <f t="shared" si="19"/>
        <v>-26210.211493270646</v>
      </c>
    </row>
    <row r="293" spans="1:9" x14ac:dyDescent="0.25">
      <c r="A293" s="33">
        <v>15953.825495162815</v>
      </c>
      <c r="B293">
        <f t="shared" si="16"/>
        <v>300000</v>
      </c>
      <c r="C293" s="13">
        <f t="shared" si="17"/>
        <v>550000</v>
      </c>
      <c r="G293" s="33">
        <v>6953.825495162816</v>
      </c>
      <c r="H293" s="13">
        <f t="shared" si="18"/>
        <v>300000</v>
      </c>
      <c r="I293" s="13">
        <f t="shared" si="19"/>
        <v>-13232.215338602895</v>
      </c>
    </row>
    <row r="294" spans="1:9" x14ac:dyDescent="0.25">
      <c r="A294" s="33">
        <v>12291.451765495773</v>
      </c>
      <c r="B294">
        <f t="shared" si="16"/>
        <v>300000</v>
      </c>
      <c r="C294" s="13">
        <f t="shared" si="17"/>
        <v>360401.62358470412</v>
      </c>
      <c r="G294" s="33">
        <v>3291.4517654957731</v>
      </c>
      <c r="H294" s="13">
        <f t="shared" si="18"/>
        <v>164572.58827478866</v>
      </c>
      <c r="I294" s="13">
        <f t="shared" si="19"/>
        <v>-269598.37641529588</v>
      </c>
    </row>
    <row r="295" spans="1:9" x14ac:dyDescent="0.25">
      <c r="A295" s="33">
        <v>12379.192480239266</v>
      </c>
      <c r="B295">
        <f t="shared" si="16"/>
        <v>300000</v>
      </c>
      <c r="C295" s="13">
        <f t="shared" si="17"/>
        <v>366543.47361674858</v>
      </c>
      <c r="G295" s="33">
        <v>3379.192480239265</v>
      </c>
      <c r="H295" s="13">
        <f t="shared" si="18"/>
        <v>168959.62401196326</v>
      </c>
      <c r="I295" s="13">
        <f t="shared" si="19"/>
        <v>-263456.52638325142</v>
      </c>
    </row>
    <row r="296" spans="1:9" x14ac:dyDescent="0.25">
      <c r="A296" s="33">
        <v>12964.995269631032</v>
      </c>
      <c r="B296">
        <f t="shared" si="16"/>
        <v>300000</v>
      </c>
      <c r="C296" s="13">
        <f t="shared" si="17"/>
        <v>407549.66887417226</v>
      </c>
      <c r="G296" s="33">
        <v>3964.9952696310311</v>
      </c>
      <c r="H296" s="13">
        <f t="shared" si="18"/>
        <v>198249.76348155155</v>
      </c>
      <c r="I296" s="13">
        <f t="shared" si="19"/>
        <v>-222450.3311258278</v>
      </c>
    </row>
    <row r="297" spans="1:9" x14ac:dyDescent="0.25">
      <c r="A297" s="33">
        <v>16705.496383556627</v>
      </c>
      <c r="B297">
        <f t="shared" si="16"/>
        <v>300000</v>
      </c>
      <c r="C297" s="13">
        <f t="shared" si="17"/>
        <v>550000</v>
      </c>
      <c r="G297" s="33">
        <v>7705.4963835566268</v>
      </c>
      <c r="H297" s="13">
        <f t="shared" si="18"/>
        <v>300000</v>
      </c>
      <c r="I297" s="13">
        <f t="shared" si="19"/>
        <v>39384.7468489639</v>
      </c>
    </row>
    <row r="298" spans="1:9" x14ac:dyDescent="0.25">
      <c r="A298" s="33">
        <v>12357.066560869167</v>
      </c>
      <c r="B298">
        <f t="shared" si="16"/>
        <v>300000</v>
      </c>
      <c r="C298" s="13">
        <f t="shared" si="17"/>
        <v>364994.65926084167</v>
      </c>
      <c r="G298" s="33">
        <v>3357.066560869167</v>
      </c>
      <c r="H298" s="13">
        <f t="shared" si="18"/>
        <v>167853.32804345834</v>
      </c>
      <c r="I298" s="13">
        <f t="shared" si="19"/>
        <v>-265005.34073915833</v>
      </c>
    </row>
    <row r="299" spans="1:9" x14ac:dyDescent="0.25">
      <c r="A299" s="33">
        <v>12184.026612140264</v>
      </c>
      <c r="B299">
        <f t="shared" si="16"/>
        <v>300000</v>
      </c>
      <c r="C299" s="13">
        <f t="shared" si="17"/>
        <v>352881.86284981843</v>
      </c>
      <c r="G299" s="33">
        <v>3184.0266121402628</v>
      </c>
      <c r="H299" s="13">
        <f t="shared" si="18"/>
        <v>159201.33060701314</v>
      </c>
      <c r="I299" s="13">
        <f t="shared" si="19"/>
        <v>-277118.13715018157</v>
      </c>
    </row>
    <row r="300" spans="1:9" x14ac:dyDescent="0.25">
      <c r="A300" s="33">
        <v>12657.36869411298</v>
      </c>
      <c r="B300">
        <f t="shared" si="16"/>
        <v>300000</v>
      </c>
      <c r="C300" s="13">
        <f t="shared" si="17"/>
        <v>386015.80858790863</v>
      </c>
      <c r="G300" s="33">
        <v>3657.3686941129795</v>
      </c>
      <c r="H300" s="13">
        <f t="shared" si="18"/>
        <v>182868.43470564898</v>
      </c>
      <c r="I300" s="13">
        <f t="shared" si="19"/>
        <v>-243984.19141209143</v>
      </c>
    </row>
    <row r="301" spans="1:9" x14ac:dyDescent="0.25">
      <c r="A301" s="33">
        <v>12973.08267464217</v>
      </c>
      <c r="B301">
        <f t="shared" si="16"/>
        <v>300000</v>
      </c>
      <c r="C301" s="13">
        <f t="shared" si="17"/>
        <v>408115.7872249519</v>
      </c>
      <c r="G301" s="33">
        <v>3973.0826746421703</v>
      </c>
      <c r="H301" s="13">
        <f t="shared" si="18"/>
        <v>198654.13373210852</v>
      </c>
      <c r="I301" s="13">
        <f t="shared" si="19"/>
        <v>-221884.2127750481</v>
      </c>
    </row>
    <row r="302" spans="1:9" x14ac:dyDescent="0.25">
      <c r="A302" s="33">
        <v>14521.591845454268</v>
      </c>
      <c r="B302">
        <f t="shared" si="16"/>
        <v>300000</v>
      </c>
      <c r="C302" s="13">
        <f t="shared" si="17"/>
        <v>516511.42918179871</v>
      </c>
      <c r="G302" s="33">
        <v>5521.591845454268</v>
      </c>
      <c r="H302" s="13">
        <f t="shared" si="18"/>
        <v>276079.59227271337</v>
      </c>
      <c r="I302" s="13">
        <f t="shared" si="19"/>
        <v>-113488.57081820123</v>
      </c>
    </row>
    <row r="303" spans="1:9" x14ac:dyDescent="0.25">
      <c r="A303" s="33">
        <v>16782.403027436139</v>
      </c>
      <c r="B303">
        <f t="shared" si="16"/>
        <v>300000</v>
      </c>
      <c r="C303" s="13">
        <f t="shared" si="17"/>
        <v>550000</v>
      </c>
      <c r="G303" s="33">
        <v>7782.4030274361403</v>
      </c>
      <c r="H303" s="13">
        <f t="shared" si="18"/>
        <v>300000</v>
      </c>
      <c r="I303" s="13">
        <f t="shared" si="19"/>
        <v>44768.211920529837</v>
      </c>
    </row>
    <row r="304" spans="1:9" x14ac:dyDescent="0.25">
      <c r="A304" s="33">
        <v>13605.426190984832</v>
      </c>
      <c r="B304">
        <f t="shared" si="16"/>
        <v>300000</v>
      </c>
      <c r="C304" s="13">
        <f t="shared" si="17"/>
        <v>452379.83336893818</v>
      </c>
      <c r="G304" s="33">
        <v>4605.4261909848319</v>
      </c>
      <c r="H304" s="13">
        <f t="shared" si="18"/>
        <v>230271.30954924159</v>
      </c>
      <c r="I304" s="13">
        <f t="shared" si="19"/>
        <v>-177620.16663106176</v>
      </c>
    </row>
    <row r="305" spans="1:9" x14ac:dyDescent="0.25">
      <c r="A305" s="33">
        <v>16848.475600451675</v>
      </c>
      <c r="B305">
        <f t="shared" si="16"/>
        <v>300000</v>
      </c>
      <c r="C305" s="13">
        <f t="shared" si="17"/>
        <v>550000</v>
      </c>
      <c r="G305" s="33">
        <v>7848.4756004516739</v>
      </c>
      <c r="H305" s="13">
        <f t="shared" si="18"/>
        <v>300000</v>
      </c>
      <c r="I305" s="13">
        <f t="shared" si="19"/>
        <v>49393.292031617137</v>
      </c>
    </row>
    <row r="306" spans="1:9" x14ac:dyDescent="0.25">
      <c r="A306" s="33">
        <v>14895.290993987854</v>
      </c>
      <c r="B306">
        <f t="shared" si="16"/>
        <v>300000</v>
      </c>
      <c r="C306" s="13">
        <f t="shared" si="17"/>
        <v>542670.36957914976</v>
      </c>
      <c r="G306" s="33">
        <v>5895.2909939878537</v>
      </c>
      <c r="H306" s="13">
        <f t="shared" si="18"/>
        <v>294764.54969939269</v>
      </c>
      <c r="I306" s="13">
        <f t="shared" si="19"/>
        <v>-87329.630420850241</v>
      </c>
    </row>
    <row r="307" spans="1:9" x14ac:dyDescent="0.25">
      <c r="A307" s="33">
        <v>13187.32261116367</v>
      </c>
      <c r="B307">
        <f t="shared" si="16"/>
        <v>300000</v>
      </c>
      <c r="C307" s="13">
        <f t="shared" si="17"/>
        <v>423112.58278145688</v>
      </c>
      <c r="G307" s="33">
        <v>4187.3226111636704</v>
      </c>
      <c r="H307" s="13">
        <f t="shared" si="18"/>
        <v>209366.13055818353</v>
      </c>
      <c r="I307" s="13">
        <f t="shared" si="19"/>
        <v>-206887.41721854307</v>
      </c>
    </row>
    <row r="308" spans="1:9" x14ac:dyDescent="0.25">
      <c r="A308" s="33">
        <v>16235.81652272103</v>
      </c>
      <c r="B308">
        <f t="shared" si="16"/>
        <v>300000</v>
      </c>
      <c r="C308" s="13">
        <f t="shared" si="17"/>
        <v>550000</v>
      </c>
      <c r="G308" s="33">
        <v>7235.8165227210302</v>
      </c>
      <c r="H308" s="13">
        <f t="shared" si="18"/>
        <v>300000</v>
      </c>
      <c r="I308" s="13">
        <f t="shared" si="19"/>
        <v>6507.1565904720919</v>
      </c>
    </row>
    <row r="309" spans="1:9" x14ac:dyDescent="0.25">
      <c r="A309" s="33">
        <v>15149.967955565051</v>
      </c>
      <c r="B309">
        <f t="shared" si="16"/>
        <v>300000</v>
      </c>
      <c r="C309" s="13">
        <f t="shared" si="17"/>
        <v>550000</v>
      </c>
      <c r="G309" s="33">
        <v>6149.96795556505</v>
      </c>
      <c r="H309" s="13">
        <f t="shared" si="18"/>
        <v>300000</v>
      </c>
      <c r="I309" s="13">
        <f t="shared" si="19"/>
        <v>-69502.243110446492</v>
      </c>
    </row>
    <row r="310" spans="1:9" x14ac:dyDescent="0.25">
      <c r="A310" s="33">
        <v>16228.492080446791</v>
      </c>
      <c r="B310">
        <f t="shared" si="16"/>
        <v>300000</v>
      </c>
      <c r="C310" s="13">
        <f t="shared" si="17"/>
        <v>550000</v>
      </c>
      <c r="G310" s="33">
        <v>7228.4920804467911</v>
      </c>
      <c r="H310" s="13">
        <f t="shared" si="18"/>
        <v>300000</v>
      </c>
      <c r="I310" s="13">
        <f t="shared" si="19"/>
        <v>5994.4456312753609</v>
      </c>
    </row>
    <row r="311" spans="1:9" x14ac:dyDescent="0.25">
      <c r="A311" s="33">
        <v>16031.80028687399</v>
      </c>
      <c r="B311">
        <f t="shared" si="16"/>
        <v>300000</v>
      </c>
      <c r="C311" s="13">
        <f t="shared" si="17"/>
        <v>550000</v>
      </c>
      <c r="G311" s="33">
        <v>7031.8002868739886</v>
      </c>
      <c r="H311" s="13">
        <f t="shared" si="18"/>
        <v>300000</v>
      </c>
      <c r="I311" s="13">
        <f t="shared" si="19"/>
        <v>-7773.9799188207835</v>
      </c>
    </row>
    <row r="312" spans="1:9" x14ac:dyDescent="0.25">
      <c r="A312" s="33">
        <v>15500.930814539017</v>
      </c>
      <c r="B312">
        <f t="shared" si="16"/>
        <v>300000</v>
      </c>
      <c r="C312" s="13">
        <f t="shared" si="17"/>
        <v>550000</v>
      </c>
      <c r="G312" s="33">
        <v>6500.9308145390178</v>
      </c>
      <c r="H312" s="13">
        <f t="shared" si="18"/>
        <v>300000</v>
      </c>
      <c r="I312" s="13">
        <f t="shared" si="19"/>
        <v>-44934.842982268776</v>
      </c>
    </row>
    <row r="313" spans="1:9" x14ac:dyDescent="0.25">
      <c r="A313" s="33">
        <v>13969.206823938719</v>
      </c>
      <c r="B313">
        <f t="shared" si="16"/>
        <v>300000</v>
      </c>
      <c r="C313" s="13">
        <f t="shared" si="17"/>
        <v>477844.47767571034</v>
      </c>
      <c r="G313" s="33">
        <v>4969.206823938719</v>
      </c>
      <c r="H313" s="13">
        <f t="shared" si="18"/>
        <v>248460.34119693594</v>
      </c>
      <c r="I313" s="13">
        <f t="shared" si="19"/>
        <v>-152155.52232428966</v>
      </c>
    </row>
    <row r="314" spans="1:9" x14ac:dyDescent="0.25">
      <c r="A314" s="33">
        <v>14896.969512009033</v>
      </c>
      <c r="B314">
        <f t="shared" si="16"/>
        <v>300000</v>
      </c>
      <c r="C314" s="13">
        <f t="shared" si="17"/>
        <v>542787.86584063224</v>
      </c>
      <c r="G314" s="33">
        <v>5896.9695120090328</v>
      </c>
      <c r="H314" s="13">
        <f t="shared" si="18"/>
        <v>294848.47560045164</v>
      </c>
      <c r="I314" s="13">
        <f t="shared" si="19"/>
        <v>-87212.134159367706</v>
      </c>
    </row>
    <row r="315" spans="1:9" x14ac:dyDescent="0.25">
      <c r="A315" s="33">
        <v>14735.374004333629</v>
      </c>
      <c r="B315">
        <f t="shared" si="16"/>
        <v>300000</v>
      </c>
      <c r="C315" s="13">
        <f t="shared" si="17"/>
        <v>531476.18030335405</v>
      </c>
      <c r="G315" s="33">
        <v>5735.3740043336284</v>
      </c>
      <c r="H315" s="13">
        <f t="shared" si="18"/>
        <v>286768.70021668141</v>
      </c>
      <c r="I315" s="13">
        <f t="shared" si="19"/>
        <v>-98523.819696646009</v>
      </c>
    </row>
    <row r="316" spans="1:9" x14ac:dyDescent="0.25">
      <c r="A316" s="33">
        <v>14999.053926206245</v>
      </c>
      <c r="B316">
        <f t="shared" si="16"/>
        <v>300000</v>
      </c>
      <c r="C316" s="13">
        <f t="shared" si="17"/>
        <v>549933.77483443706</v>
      </c>
      <c r="G316" s="33">
        <v>5999.0539262062448</v>
      </c>
      <c r="H316" s="13">
        <f t="shared" si="18"/>
        <v>299952.69631031225</v>
      </c>
      <c r="I316" s="13">
        <f t="shared" si="19"/>
        <v>-80066.225165562879</v>
      </c>
    </row>
    <row r="317" spans="1:9" x14ac:dyDescent="0.25">
      <c r="A317" s="33">
        <v>14438.428907132176</v>
      </c>
      <c r="B317">
        <f t="shared" si="16"/>
        <v>300000</v>
      </c>
      <c r="C317" s="13">
        <f t="shared" si="17"/>
        <v>510690.02349925239</v>
      </c>
      <c r="G317" s="33">
        <v>5438.4289071321764</v>
      </c>
      <c r="H317" s="13">
        <f t="shared" si="18"/>
        <v>271921.44535660883</v>
      </c>
      <c r="I317" s="13">
        <f t="shared" si="19"/>
        <v>-119309.97650074767</v>
      </c>
    </row>
    <row r="318" spans="1:9" x14ac:dyDescent="0.25">
      <c r="A318" s="33">
        <v>14225.257118442336</v>
      </c>
      <c r="B318">
        <f t="shared" si="16"/>
        <v>300000</v>
      </c>
      <c r="C318" s="13">
        <f t="shared" si="17"/>
        <v>495767.99829096347</v>
      </c>
      <c r="G318" s="33">
        <v>5225.2571184423359</v>
      </c>
      <c r="H318" s="13">
        <f t="shared" si="18"/>
        <v>261262.85592211678</v>
      </c>
      <c r="I318" s="13">
        <f t="shared" si="19"/>
        <v>-134232.00170903647</v>
      </c>
    </row>
    <row r="319" spans="1:9" x14ac:dyDescent="0.25">
      <c r="A319" s="33">
        <v>16660.786767174293</v>
      </c>
      <c r="B319">
        <f t="shared" si="16"/>
        <v>300000</v>
      </c>
      <c r="C319" s="13">
        <f t="shared" si="17"/>
        <v>550000</v>
      </c>
      <c r="G319" s="33">
        <v>7660.7867671742915</v>
      </c>
      <c r="H319" s="13">
        <f t="shared" si="18"/>
        <v>300000</v>
      </c>
      <c r="I319" s="13">
        <f t="shared" si="19"/>
        <v>36255.073702200432</v>
      </c>
    </row>
    <row r="320" spans="1:9" x14ac:dyDescent="0.25">
      <c r="A320" s="33">
        <v>13133.762627033295</v>
      </c>
      <c r="B320">
        <f t="shared" si="16"/>
        <v>300000</v>
      </c>
      <c r="C320" s="13">
        <f t="shared" si="17"/>
        <v>419363.38389233069</v>
      </c>
      <c r="G320" s="33">
        <v>4133.7626270332958</v>
      </c>
      <c r="H320" s="13">
        <f t="shared" si="18"/>
        <v>206688.13135166478</v>
      </c>
      <c r="I320" s="13">
        <f t="shared" si="19"/>
        <v>-210636.61610766931</v>
      </c>
    </row>
    <row r="321" spans="1:9" x14ac:dyDescent="0.25">
      <c r="A321" s="33">
        <v>12374.309518723105</v>
      </c>
      <c r="B321">
        <f t="shared" si="16"/>
        <v>300000</v>
      </c>
      <c r="C321" s="13">
        <f t="shared" si="17"/>
        <v>366201.66631061735</v>
      </c>
      <c r="G321" s="33">
        <v>3374.3095187231056</v>
      </c>
      <c r="H321" s="13">
        <f t="shared" si="18"/>
        <v>168715.47593615527</v>
      </c>
      <c r="I321" s="13">
        <f t="shared" si="19"/>
        <v>-263798.33368938265</v>
      </c>
    </row>
    <row r="322" spans="1:9" x14ac:dyDescent="0.25">
      <c r="A322" s="33">
        <v>16179.815057832577</v>
      </c>
      <c r="B322">
        <f t="shared" si="16"/>
        <v>300000</v>
      </c>
      <c r="C322" s="13">
        <f t="shared" si="17"/>
        <v>550000</v>
      </c>
      <c r="G322" s="33">
        <v>7179.8150578325758</v>
      </c>
      <c r="H322" s="13">
        <f t="shared" si="18"/>
        <v>300000</v>
      </c>
      <c r="I322" s="13">
        <f t="shared" si="19"/>
        <v>2587.0540482802899</v>
      </c>
    </row>
    <row r="323" spans="1:9" x14ac:dyDescent="0.25">
      <c r="A323" s="33">
        <v>15159.88647114475</v>
      </c>
      <c r="B323">
        <f t="shared" si="16"/>
        <v>300000</v>
      </c>
      <c r="C323" s="13">
        <f t="shared" si="17"/>
        <v>550000</v>
      </c>
      <c r="G323" s="33">
        <v>6159.8864711447495</v>
      </c>
      <c r="H323" s="13">
        <f t="shared" si="18"/>
        <v>300000</v>
      </c>
      <c r="I323" s="13">
        <f t="shared" si="19"/>
        <v>-68807.947019867541</v>
      </c>
    </row>
    <row r="324" spans="1:9" x14ac:dyDescent="0.25">
      <c r="A324" s="33">
        <v>14596.972563859981</v>
      </c>
      <c r="B324">
        <f t="shared" si="16"/>
        <v>300000</v>
      </c>
      <c r="C324" s="13">
        <f t="shared" si="17"/>
        <v>521788.07947019872</v>
      </c>
      <c r="G324" s="33">
        <v>5596.9725638599812</v>
      </c>
      <c r="H324" s="13">
        <f t="shared" si="18"/>
        <v>279848.62819299905</v>
      </c>
      <c r="I324" s="13">
        <f t="shared" si="19"/>
        <v>-108211.92052980134</v>
      </c>
    </row>
    <row r="325" spans="1:9" x14ac:dyDescent="0.25">
      <c r="A325" s="33">
        <v>16956.053346354565</v>
      </c>
      <c r="B325">
        <f t="shared" si="16"/>
        <v>300000</v>
      </c>
      <c r="C325" s="13">
        <f t="shared" si="17"/>
        <v>550000</v>
      </c>
      <c r="G325" s="33">
        <v>7956.0533463545644</v>
      </c>
      <c r="H325" s="13">
        <f t="shared" si="18"/>
        <v>300000</v>
      </c>
      <c r="I325" s="13">
        <f t="shared" si="19"/>
        <v>56923.734244819498</v>
      </c>
    </row>
    <row r="326" spans="1:9" x14ac:dyDescent="0.25">
      <c r="A326" s="33">
        <v>15960.844752342295</v>
      </c>
      <c r="B326">
        <f t="shared" si="16"/>
        <v>300000</v>
      </c>
      <c r="C326" s="13">
        <f t="shared" si="17"/>
        <v>550000</v>
      </c>
      <c r="G326" s="33">
        <v>6960.8447523422956</v>
      </c>
      <c r="H326" s="13">
        <f t="shared" si="18"/>
        <v>300000</v>
      </c>
      <c r="I326" s="13">
        <f t="shared" si="19"/>
        <v>-12740.867336039315</v>
      </c>
    </row>
    <row r="327" spans="1:9" x14ac:dyDescent="0.25">
      <c r="A327" s="33">
        <v>13921.292764061403</v>
      </c>
      <c r="B327">
        <f t="shared" si="16"/>
        <v>300000</v>
      </c>
      <c r="C327" s="13">
        <f t="shared" si="17"/>
        <v>474490.49348429823</v>
      </c>
      <c r="G327" s="33">
        <v>4921.2927640614034</v>
      </c>
      <c r="H327" s="13">
        <f t="shared" si="18"/>
        <v>246064.63820307018</v>
      </c>
      <c r="I327" s="13">
        <f t="shared" si="19"/>
        <v>-155509.50651570177</v>
      </c>
    </row>
    <row r="328" spans="1:9" x14ac:dyDescent="0.25">
      <c r="A328" s="33">
        <v>12954.771568956572</v>
      </c>
      <c r="B328">
        <f t="shared" si="16"/>
        <v>300000</v>
      </c>
      <c r="C328" s="13">
        <f t="shared" si="17"/>
        <v>406834.00982696004</v>
      </c>
      <c r="G328" s="33">
        <v>3954.7715689565721</v>
      </c>
      <c r="H328" s="13">
        <f t="shared" si="18"/>
        <v>197738.57844782859</v>
      </c>
      <c r="I328" s="13">
        <f t="shared" si="19"/>
        <v>-223165.99017303996</v>
      </c>
    </row>
    <row r="329" spans="1:9" x14ac:dyDescent="0.25">
      <c r="A329" s="33">
        <v>16091.006195257423</v>
      </c>
      <c r="B329">
        <f t="shared" si="16"/>
        <v>300000</v>
      </c>
      <c r="C329" s="13">
        <f t="shared" si="17"/>
        <v>550000</v>
      </c>
      <c r="G329" s="33">
        <v>7091.0061952574233</v>
      </c>
      <c r="H329" s="13">
        <f t="shared" si="18"/>
        <v>300000</v>
      </c>
      <c r="I329" s="13">
        <f t="shared" si="19"/>
        <v>-3629.5663319803425</v>
      </c>
    </row>
    <row r="330" spans="1:9" x14ac:dyDescent="0.25">
      <c r="A330" s="33">
        <v>16527.420880764184</v>
      </c>
      <c r="B330">
        <f t="shared" si="16"/>
        <v>300000</v>
      </c>
      <c r="C330" s="13">
        <f t="shared" si="17"/>
        <v>550000</v>
      </c>
      <c r="G330" s="33">
        <v>7527.4208807641835</v>
      </c>
      <c r="H330" s="13">
        <f t="shared" si="18"/>
        <v>300000</v>
      </c>
      <c r="I330" s="13">
        <f t="shared" si="19"/>
        <v>26919.461653492879</v>
      </c>
    </row>
    <row r="331" spans="1:9" x14ac:dyDescent="0.25">
      <c r="A331" s="33">
        <v>16521.164586321604</v>
      </c>
      <c r="B331">
        <f t="shared" ref="B331:B394" si="20">MIN(A331,6000)*50</f>
        <v>300000</v>
      </c>
      <c r="C331" s="13">
        <f t="shared" ref="C331:C394" si="21">MIN(A331,$C$3)*$C$6-500000</f>
        <v>550000</v>
      </c>
      <c r="G331" s="33">
        <v>7521.1645863216036</v>
      </c>
      <c r="H331" s="13">
        <f t="shared" ref="H331:H394" si="22">MIN(G331,6000)*50</f>
        <v>300000</v>
      </c>
      <c r="I331" s="13">
        <f t="shared" ref="I331:I394" si="23">MIN(G331,15000)*70-500000</f>
        <v>26481.521042512264</v>
      </c>
    </row>
    <row r="332" spans="1:9" x14ac:dyDescent="0.25">
      <c r="A332" s="33">
        <v>12618.305001983703</v>
      </c>
      <c r="B332">
        <f t="shared" si="20"/>
        <v>300000</v>
      </c>
      <c r="C332" s="13">
        <f t="shared" si="21"/>
        <v>383281.35013885924</v>
      </c>
      <c r="G332" s="33">
        <v>3618.3050019837028</v>
      </c>
      <c r="H332" s="13">
        <f t="shared" si="22"/>
        <v>180915.25009918516</v>
      </c>
      <c r="I332" s="13">
        <f t="shared" si="23"/>
        <v>-246718.64986114082</v>
      </c>
    </row>
    <row r="333" spans="1:9" x14ac:dyDescent="0.25">
      <c r="A333" s="33">
        <v>13628.00988799707</v>
      </c>
      <c r="B333">
        <f t="shared" si="20"/>
        <v>300000</v>
      </c>
      <c r="C333" s="13">
        <f t="shared" si="21"/>
        <v>453960.69215979485</v>
      </c>
      <c r="G333" s="33">
        <v>4628.0098879970701</v>
      </c>
      <c r="H333" s="13">
        <f t="shared" si="22"/>
        <v>231400.49439985352</v>
      </c>
      <c r="I333" s="13">
        <f t="shared" si="23"/>
        <v>-176039.30784020509</v>
      </c>
    </row>
    <row r="334" spans="1:9" x14ac:dyDescent="0.25">
      <c r="A334" s="33">
        <v>12585.039826654865</v>
      </c>
      <c r="B334">
        <f t="shared" si="20"/>
        <v>300000</v>
      </c>
      <c r="C334" s="13">
        <f t="shared" si="21"/>
        <v>380952.7878658406</v>
      </c>
      <c r="G334" s="33">
        <v>3585.0398266548664</v>
      </c>
      <c r="H334" s="13">
        <f t="shared" si="22"/>
        <v>179251.99133274332</v>
      </c>
      <c r="I334" s="13">
        <f t="shared" si="23"/>
        <v>-249047.21213415934</v>
      </c>
    </row>
    <row r="335" spans="1:9" x14ac:dyDescent="0.25">
      <c r="A335" s="33">
        <v>12585.345011749627</v>
      </c>
      <c r="B335">
        <f t="shared" si="20"/>
        <v>300000</v>
      </c>
      <c r="C335" s="13">
        <f t="shared" si="21"/>
        <v>380974.15082247392</v>
      </c>
      <c r="G335" s="33">
        <v>3585.3450117496259</v>
      </c>
      <c r="H335" s="13">
        <f t="shared" si="22"/>
        <v>179267.25058748131</v>
      </c>
      <c r="I335" s="13">
        <f t="shared" si="23"/>
        <v>-249025.84917752619</v>
      </c>
    </row>
    <row r="336" spans="1:9" x14ac:dyDescent="0.25">
      <c r="A336" s="33">
        <v>15980.681783501694</v>
      </c>
      <c r="B336">
        <f t="shared" si="20"/>
        <v>300000</v>
      </c>
      <c r="C336" s="13">
        <f t="shared" si="21"/>
        <v>550000</v>
      </c>
      <c r="G336" s="33">
        <v>6980.6817835016936</v>
      </c>
      <c r="H336" s="13">
        <f t="shared" si="22"/>
        <v>300000</v>
      </c>
      <c r="I336" s="13">
        <f t="shared" si="23"/>
        <v>-11352.27515488147</v>
      </c>
    </row>
    <row r="337" spans="1:9" x14ac:dyDescent="0.25">
      <c r="A337" s="33">
        <v>16072.084719382305</v>
      </c>
      <c r="B337">
        <f t="shared" si="20"/>
        <v>300000</v>
      </c>
      <c r="C337" s="13">
        <f t="shared" si="21"/>
        <v>550000</v>
      </c>
      <c r="G337" s="33">
        <v>7072.0847193823047</v>
      </c>
      <c r="H337" s="13">
        <f t="shared" si="22"/>
        <v>300000</v>
      </c>
      <c r="I337" s="13">
        <f t="shared" si="23"/>
        <v>-4954.0696432386758</v>
      </c>
    </row>
    <row r="338" spans="1:9" x14ac:dyDescent="0.25">
      <c r="A338" s="33">
        <v>16067.201757866145</v>
      </c>
      <c r="B338">
        <f t="shared" si="20"/>
        <v>300000</v>
      </c>
      <c r="C338" s="13">
        <f t="shared" si="21"/>
        <v>550000</v>
      </c>
      <c r="G338" s="33">
        <v>7067.2017578661453</v>
      </c>
      <c r="H338" s="13">
        <f t="shared" si="22"/>
        <v>300000</v>
      </c>
      <c r="I338" s="13">
        <f t="shared" si="23"/>
        <v>-5295.8769493698492</v>
      </c>
    </row>
    <row r="339" spans="1:9" x14ac:dyDescent="0.25">
      <c r="A339" s="33">
        <v>14471.236304818873</v>
      </c>
      <c r="B339">
        <f t="shared" si="20"/>
        <v>300000</v>
      </c>
      <c r="C339" s="13">
        <f t="shared" si="21"/>
        <v>512986.54133732105</v>
      </c>
      <c r="G339" s="33">
        <v>5471.2363048188727</v>
      </c>
      <c r="H339" s="13">
        <f t="shared" si="22"/>
        <v>273561.81524094363</v>
      </c>
      <c r="I339" s="13">
        <f t="shared" si="23"/>
        <v>-117013.4586626789</v>
      </c>
    </row>
    <row r="340" spans="1:9" x14ac:dyDescent="0.25">
      <c r="A340" s="33">
        <v>14000.946073793755</v>
      </c>
      <c r="B340">
        <f t="shared" si="20"/>
        <v>300000</v>
      </c>
      <c r="C340" s="13">
        <f t="shared" si="21"/>
        <v>480066.22516556282</v>
      </c>
      <c r="G340" s="33">
        <v>5000.9460737937561</v>
      </c>
      <c r="H340" s="13">
        <f t="shared" si="22"/>
        <v>250047.3036896878</v>
      </c>
      <c r="I340" s="13">
        <f t="shared" si="23"/>
        <v>-149933.77483443706</v>
      </c>
    </row>
    <row r="341" spans="1:9" x14ac:dyDescent="0.25">
      <c r="A341" s="33">
        <v>13956.541642506179</v>
      </c>
      <c r="B341">
        <f t="shared" si="20"/>
        <v>300000</v>
      </c>
      <c r="C341" s="13">
        <f t="shared" si="21"/>
        <v>476957.91497543256</v>
      </c>
      <c r="G341" s="33">
        <v>4956.5416425061794</v>
      </c>
      <c r="H341" s="13">
        <f t="shared" si="22"/>
        <v>247827.08212530898</v>
      </c>
      <c r="I341" s="13">
        <f t="shared" si="23"/>
        <v>-153042.08502456744</v>
      </c>
    </row>
    <row r="342" spans="1:9" x14ac:dyDescent="0.25">
      <c r="A342" s="33">
        <v>12641.651661732842</v>
      </c>
      <c r="B342">
        <f t="shared" si="20"/>
        <v>300000</v>
      </c>
      <c r="C342" s="13">
        <f t="shared" si="21"/>
        <v>384915.61632129888</v>
      </c>
      <c r="G342" s="33">
        <v>3641.6516617328407</v>
      </c>
      <c r="H342" s="13">
        <f t="shared" si="22"/>
        <v>182082.58308664203</v>
      </c>
      <c r="I342" s="13">
        <f t="shared" si="23"/>
        <v>-245084.38367870115</v>
      </c>
    </row>
    <row r="343" spans="1:9" x14ac:dyDescent="0.25">
      <c r="A343" s="33">
        <v>15870.052186651204</v>
      </c>
      <c r="B343">
        <f t="shared" si="20"/>
        <v>300000</v>
      </c>
      <c r="C343" s="13">
        <f t="shared" si="21"/>
        <v>550000</v>
      </c>
      <c r="G343" s="33">
        <v>6870.0521866512045</v>
      </c>
      <c r="H343" s="13">
        <f t="shared" si="22"/>
        <v>300000</v>
      </c>
      <c r="I343" s="13">
        <f t="shared" si="23"/>
        <v>-19096.346934415691</v>
      </c>
    </row>
    <row r="344" spans="1:9" x14ac:dyDescent="0.25">
      <c r="A344" s="33">
        <v>16017.151402325511</v>
      </c>
      <c r="B344">
        <f t="shared" si="20"/>
        <v>300000</v>
      </c>
      <c r="C344" s="13">
        <f t="shared" si="21"/>
        <v>550000</v>
      </c>
      <c r="G344" s="33">
        <v>7017.1514023255104</v>
      </c>
      <c r="H344" s="13">
        <f t="shared" si="22"/>
        <v>300000</v>
      </c>
      <c r="I344" s="13">
        <f t="shared" si="23"/>
        <v>-8799.4018372142455</v>
      </c>
    </row>
    <row r="345" spans="1:9" x14ac:dyDescent="0.25">
      <c r="A345" s="33">
        <v>15530.533768730735</v>
      </c>
      <c r="B345">
        <f t="shared" si="20"/>
        <v>300000</v>
      </c>
      <c r="C345" s="13">
        <f t="shared" si="21"/>
        <v>550000</v>
      </c>
      <c r="G345" s="33">
        <v>6530.5337687307347</v>
      </c>
      <c r="H345" s="13">
        <f t="shared" si="22"/>
        <v>300000</v>
      </c>
      <c r="I345" s="13">
        <f t="shared" si="23"/>
        <v>-42862.636188848584</v>
      </c>
    </row>
    <row r="346" spans="1:9" x14ac:dyDescent="0.25">
      <c r="A346" s="33">
        <v>16275.185399945067</v>
      </c>
      <c r="B346">
        <f t="shared" si="20"/>
        <v>300000</v>
      </c>
      <c r="C346" s="13">
        <f t="shared" si="21"/>
        <v>550000</v>
      </c>
      <c r="G346" s="33">
        <v>7275.1853999450668</v>
      </c>
      <c r="H346" s="13">
        <f t="shared" si="22"/>
        <v>300000</v>
      </c>
      <c r="I346" s="13">
        <f t="shared" si="23"/>
        <v>9262.9779961546883</v>
      </c>
    </row>
    <row r="347" spans="1:9" x14ac:dyDescent="0.25">
      <c r="A347" s="33">
        <v>16242.68318735313</v>
      </c>
      <c r="B347">
        <f t="shared" si="20"/>
        <v>300000</v>
      </c>
      <c r="C347" s="13">
        <f t="shared" si="21"/>
        <v>550000</v>
      </c>
      <c r="G347" s="33">
        <v>7242.6831873531291</v>
      </c>
      <c r="H347" s="13">
        <f t="shared" si="22"/>
        <v>300000</v>
      </c>
      <c r="I347" s="13">
        <f t="shared" si="23"/>
        <v>6987.8231147190672</v>
      </c>
    </row>
    <row r="348" spans="1:9" x14ac:dyDescent="0.25">
      <c r="A348" s="33">
        <v>12067.445905941953</v>
      </c>
      <c r="B348">
        <f t="shared" si="20"/>
        <v>300000</v>
      </c>
      <c r="C348" s="13">
        <f t="shared" si="21"/>
        <v>344721.21341593668</v>
      </c>
      <c r="G348" s="33">
        <v>3067.4459059419537</v>
      </c>
      <c r="H348" s="13">
        <f t="shared" si="22"/>
        <v>153372.29529709768</v>
      </c>
      <c r="I348" s="13">
        <f t="shared" si="23"/>
        <v>-285278.7865840632</v>
      </c>
    </row>
    <row r="349" spans="1:9" x14ac:dyDescent="0.25">
      <c r="A349" s="33">
        <v>12916.165654469436</v>
      </c>
      <c r="B349">
        <f t="shared" si="20"/>
        <v>300000</v>
      </c>
      <c r="C349" s="13">
        <f t="shared" si="21"/>
        <v>404131.59581286053</v>
      </c>
      <c r="G349" s="33">
        <v>3916.1656544694356</v>
      </c>
      <c r="H349" s="13">
        <f t="shared" si="22"/>
        <v>195808.28272347178</v>
      </c>
      <c r="I349" s="13">
        <f t="shared" si="23"/>
        <v>-225868.40418713953</v>
      </c>
    </row>
    <row r="350" spans="1:9" x14ac:dyDescent="0.25">
      <c r="A350" s="33">
        <v>16383.831293679617</v>
      </c>
      <c r="B350">
        <f t="shared" si="20"/>
        <v>300000</v>
      </c>
      <c r="C350" s="13">
        <f t="shared" si="21"/>
        <v>550000</v>
      </c>
      <c r="G350" s="33">
        <v>7383.8312936796165</v>
      </c>
      <c r="H350" s="13">
        <f t="shared" si="22"/>
        <v>300000</v>
      </c>
      <c r="I350" s="13">
        <f t="shared" si="23"/>
        <v>16868.190557573165</v>
      </c>
    </row>
    <row r="351" spans="1:9" x14ac:dyDescent="0.25">
      <c r="A351" s="33">
        <v>12488.601336710715</v>
      </c>
      <c r="B351">
        <f t="shared" si="20"/>
        <v>300000</v>
      </c>
      <c r="C351" s="13">
        <f t="shared" si="21"/>
        <v>374202.09356975008</v>
      </c>
      <c r="G351" s="33">
        <v>3488.6013367107153</v>
      </c>
      <c r="H351" s="13">
        <f t="shared" si="22"/>
        <v>174430.06683553575</v>
      </c>
      <c r="I351" s="13">
        <f t="shared" si="23"/>
        <v>-255797.90643024992</v>
      </c>
    </row>
    <row r="352" spans="1:9" x14ac:dyDescent="0.25">
      <c r="A352" s="33">
        <v>13505.630664998322</v>
      </c>
      <c r="B352">
        <f t="shared" si="20"/>
        <v>300000</v>
      </c>
      <c r="C352" s="13">
        <f t="shared" si="21"/>
        <v>445394.14654988248</v>
      </c>
      <c r="G352" s="33">
        <v>4505.6306649983217</v>
      </c>
      <c r="H352" s="13">
        <f t="shared" si="22"/>
        <v>225281.53324991607</v>
      </c>
      <c r="I352" s="13">
        <f t="shared" si="23"/>
        <v>-184605.85345011746</v>
      </c>
    </row>
    <row r="353" spans="1:9" x14ac:dyDescent="0.25">
      <c r="A353" s="33">
        <v>13394.390697958312</v>
      </c>
      <c r="B353">
        <f t="shared" si="20"/>
        <v>300000</v>
      </c>
      <c r="C353" s="13">
        <f t="shared" si="21"/>
        <v>437607.34885708184</v>
      </c>
      <c r="G353" s="33">
        <v>4394.3906979583116</v>
      </c>
      <c r="H353" s="13">
        <f t="shared" si="22"/>
        <v>219719.53489791558</v>
      </c>
      <c r="I353" s="13">
        <f t="shared" si="23"/>
        <v>-192392.65114291816</v>
      </c>
    </row>
    <row r="354" spans="1:9" x14ac:dyDescent="0.25">
      <c r="A354" s="33">
        <v>14604.29700613422</v>
      </c>
      <c r="B354">
        <f t="shared" si="20"/>
        <v>300000</v>
      </c>
      <c r="C354" s="13">
        <f t="shared" si="21"/>
        <v>522300.79042939539</v>
      </c>
      <c r="G354" s="33">
        <v>5604.2970061342203</v>
      </c>
      <c r="H354" s="13">
        <f t="shared" si="22"/>
        <v>280214.85030671104</v>
      </c>
      <c r="I354" s="13">
        <f t="shared" si="23"/>
        <v>-107699.20957060461</v>
      </c>
    </row>
    <row r="355" spans="1:9" x14ac:dyDescent="0.25">
      <c r="A355" s="33">
        <v>16761.192663350321</v>
      </c>
      <c r="B355">
        <f t="shared" si="20"/>
        <v>300000</v>
      </c>
      <c r="C355" s="13">
        <f t="shared" si="21"/>
        <v>550000</v>
      </c>
      <c r="G355" s="33">
        <v>7761.1926633503217</v>
      </c>
      <c r="H355" s="13">
        <f t="shared" si="22"/>
        <v>300000</v>
      </c>
      <c r="I355" s="13">
        <f t="shared" si="23"/>
        <v>43283.486434522551</v>
      </c>
    </row>
    <row r="356" spans="1:9" x14ac:dyDescent="0.25">
      <c r="A356" s="33">
        <v>15184.759056367686</v>
      </c>
      <c r="B356">
        <f t="shared" si="20"/>
        <v>300000</v>
      </c>
      <c r="C356" s="13">
        <f t="shared" si="21"/>
        <v>550000</v>
      </c>
      <c r="G356" s="33">
        <v>6184.7590563676868</v>
      </c>
      <c r="H356" s="13">
        <f t="shared" si="22"/>
        <v>300000</v>
      </c>
      <c r="I356" s="13">
        <f t="shared" si="23"/>
        <v>-67066.866054261918</v>
      </c>
    </row>
    <row r="357" spans="1:9" x14ac:dyDescent="0.25">
      <c r="A357" s="33">
        <v>15972.289193395794</v>
      </c>
      <c r="B357">
        <f t="shared" si="20"/>
        <v>300000</v>
      </c>
      <c r="C357" s="13">
        <f t="shared" si="21"/>
        <v>550000</v>
      </c>
      <c r="G357" s="33">
        <v>6972.2891933957944</v>
      </c>
      <c r="H357" s="13">
        <f t="shared" si="22"/>
        <v>300000</v>
      </c>
      <c r="I357" s="13">
        <f t="shared" si="23"/>
        <v>-11939.756462294376</v>
      </c>
    </row>
    <row r="358" spans="1:9" x14ac:dyDescent="0.25">
      <c r="A358" s="33">
        <v>15715.323343607899</v>
      </c>
      <c r="B358">
        <f t="shared" si="20"/>
        <v>300000</v>
      </c>
      <c r="C358" s="13">
        <f t="shared" si="21"/>
        <v>550000</v>
      </c>
      <c r="G358" s="33">
        <v>6715.3233436078981</v>
      </c>
      <c r="H358" s="13">
        <f t="shared" si="22"/>
        <v>300000</v>
      </c>
      <c r="I358" s="13">
        <f t="shared" si="23"/>
        <v>-29927.365947447135</v>
      </c>
    </row>
    <row r="359" spans="1:9" x14ac:dyDescent="0.25">
      <c r="A359" s="33">
        <v>16826.807458723717</v>
      </c>
      <c r="B359">
        <f t="shared" si="20"/>
        <v>300000</v>
      </c>
      <c r="C359" s="13">
        <f t="shared" si="21"/>
        <v>550000</v>
      </c>
      <c r="G359" s="33">
        <v>7826.8074587237161</v>
      </c>
      <c r="H359" s="13">
        <f t="shared" si="22"/>
        <v>300000</v>
      </c>
      <c r="I359" s="13">
        <f t="shared" si="23"/>
        <v>47876.522110660095</v>
      </c>
    </row>
    <row r="360" spans="1:9" x14ac:dyDescent="0.25">
      <c r="A360" s="33">
        <v>14997.375408185064</v>
      </c>
      <c r="B360">
        <f t="shared" si="20"/>
        <v>300000</v>
      </c>
      <c r="C360" s="13">
        <f t="shared" si="21"/>
        <v>549816.27857295447</v>
      </c>
      <c r="G360" s="33">
        <v>5997.3754081850639</v>
      </c>
      <c r="H360" s="13">
        <f t="shared" si="22"/>
        <v>299868.77040925319</v>
      </c>
      <c r="I360" s="13">
        <f t="shared" si="23"/>
        <v>-80183.72142704553</v>
      </c>
    </row>
    <row r="361" spans="1:9" x14ac:dyDescent="0.25">
      <c r="A361" s="33">
        <v>15890.346995452743</v>
      </c>
      <c r="B361">
        <f t="shared" si="20"/>
        <v>300000</v>
      </c>
      <c r="C361" s="13">
        <f t="shared" si="21"/>
        <v>550000</v>
      </c>
      <c r="G361" s="33">
        <v>6890.3469954527418</v>
      </c>
      <c r="H361" s="13">
        <f t="shared" si="22"/>
        <v>300000</v>
      </c>
      <c r="I361" s="13">
        <f t="shared" si="23"/>
        <v>-17675.710318308091</v>
      </c>
    </row>
    <row r="362" spans="1:9" x14ac:dyDescent="0.25">
      <c r="A362" s="33">
        <v>14739.036225470747</v>
      </c>
      <c r="B362">
        <f t="shared" si="20"/>
        <v>300000</v>
      </c>
      <c r="C362" s="13">
        <f t="shared" si="21"/>
        <v>531732.53578295233</v>
      </c>
      <c r="G362" s="33">
        <v>5739.0362254707479</v>
      </c>
      <c r="H362" s="13">
        <f t="shared" si="22"/>
        <v>286951.8112735374</v>
      </c>
      <c r="I362" s="13">
        <f t="shared" si="23"/>
        <v>-98267.464217047673</v>
      </c>
    </row>
    <row r="363" spans="1:9" x14ac:dyDescent="0.25">
      <c r="A363" s="33">
        <v>12884.273812067018</v>
      </c>
      <c r="B363">
        <f t="shared" si="20"/>
        <v>300000</v>
      </c>
      <c r="C363" s="13">
        <f t="shared" si="21"/>
        <v>401899.16684469127</v>
      </c>
      <c r="G363" s="33">
        <v>3884.2738120670188</v>
      </c>
      <c r="H363" s="13">
        <f t="shared" si="22"/>
        <v>194213.69060335093</v>
      </c>
      <c r="I363" s="13">
        <f t="shared" si="23"/>
        <v>-228100.83315530868</v>
      </c>
    </row>
    <row r="364" spans="1:9" x14ac:dyDescent="0.25">
      <c r="A364" s="33">
        <v>14049.165318765832</v>
      </c>
      <c r="B364">
        <f t="shared" si="20"/>
        <v>300000</v>
      </c>
      <c r="C364" s="13">
        <f t="shared" si="21"/>
        <v>483441.57231360825</v>
      </c>
      <c r="G364" s="33">
        <v>5049.1653187658321</v>
      </c>
      <c r="H364" s="13">
        <f t="shared" si="22"/>
        <v>252458.26593829162</v>
      </c>
      <c r="I364" s="13">
        <f t="shared" si="23"/>
        <v>-146558.42768639175</v>
      </c>
    </row>
    <row r="365" spans="1:9" x14ac:dyDescent="0.25">
      <c r="A365" s="33">
        <v>12226.14215521714</v>
      </c>
      <c r="B365">
        <f t="shared" si="20"/>
        <v>300000</v>
      </c>
      <c r="C365" s="13">
        <f t="shared" si="21"/>
        <v>355829.95086519979</v>
      </c>
      <c r="G365" s="33">
        <v>3226.1421552171391</v>
      </c>
      <c r="H365" s="13">
        <f t="shared" si="22"/>
        <v>161307.10776085695</v>
      </c>
      <c r="I365" s="13">
        <f t="shared" si="23"/>
        <v>-274170.04913480027</v>
      </c>
    </row>
    <row r="366" spans="1:9" x14ac:dyDescent="0.25">
      <c r="A366" s="33">
        <v>14757.805108798486</v>
      </c>
      <c r="B366">
        <f t="shared" si="20"/>
        <v>300000</v>
      </c>
      <c r="C366" s="13">
        <f t="shared" si="21"/>
        <v>533046.35761589406</v>
      </c>
      <c r="G366" s="33">
        <v>5757.8051087984859</v>
      </c>
      <c r="H366" s="13">
        <f t="shared" si="22"/>
        <v>287890.25543992431</v>
      </c>
      <c r="I366" s="13">
        <f t="shared" si="23"/>
        <v>-96953.642384106002</v>
      </c>
    </row>
    <row r="367" spans="1:9" x14ac:dyDescent="0.25">
      <c r="A367" s="33">
        <v>12242.316965239417</v>
      </c>
      <c r="B367">
        <f t="shared" si="20"/>
        <v>300000</v>
      </c>
      <c r="C367" s="13">
        <f t="shared" si="21"/>
        <v>356962.18756675918</v>
      </c>
      <c r="G367" s="33">
        <v>3242.3169652394176</v>
      </c>
      <c r="H367" s="13">
        <f t="shared" si="22"/>
        <v>162115.84826197088</v>
      </c>
      <c r="I367" s="13">
        <f t="shared" si="23"/>
        <v>-273037.81243324076</v>
      </c>
    </row>
    <row r="368" spans="1:9" x14ac:dyDescent="0.25">
      <c r="A368" s="33">
        <v>13249.580370494705</v>
      </c>
      <c r="B368">
        <f t="shared" si="20"/>
        <v>300000</v>
      </c>
      <c r="C368" s="13">
        <f t="shared" si="21"/>
        <v>427470.62593462935</v>
      </c>
      <c r="G368" s="33">
        <v>4249.5803704947048</v>
      </c>
      <c r="H368" s="13">
        <f t="shared" si="22"/>
        <v>212479.01852473523</v>
      </c>
      <c r="I368" s="13">
        <f t="shared" si="23"/>
        <v>-202529.37406537065</v>
      </c>
    </row>
    <row r="369" spans="1:9" x14ac:dyDescent="0.25">
      <c r="A369" s="33">
        <v>16249.54985198523</v>
      </c>
      <c r="B369">
        <f t="shared" si="20"/>
        <v>300000</v>
      </c>
      <c r="C369" s="13">
        <f t="shared" si="21"/>
        <v>550000</v>
      </c>
      <c r="G369" s="33">
        <v>7249.549851985229</v>
      </c>
      <c r="H369" s="13">
        <f t="shared" si="22"/>
        <v>300000</v>
      </c>
      <c r="I369" s="13">
        <f t="shared" si="23"/>
        <v>7468.4896389660425</v>
      </c>
    </row>
    <row r="370" spans="1:9" x14ac:dyDescent="0.25">
      <c r="A370" s="33">
        <v>12473.342081972716</v>
      </c>
      <c r="B370">
        <f t="shared" si="20"/>
        <v>300000</v>
      </c>
      <c r="C370" s="13">
        <f t="shared" si="21"/>
        <v>373133.94573809009</v>
      </c>
      <c r="G370" s="33">
        <v>3473.3420819727166</v>
      </c>
      <c r="H370" s="13">
        <f t="shared" si="22"/>
        <v>173667.10409863584</v>
      </c>
      <c r="I370" s="13">
        <f t="shared" si="23"/>
        <v>-256866.05426190983</v>
      </c>
    </row>
    <row r="371" spans="1:9" x14ac:dyDescent="0.25">
      <c r="A371" s="33">
        <v>15765.068514053773</v>
      </c>
      <c r="B371">
        <f t="shared" si="20"/>
        <v>300000</v>
      </c>
      <c r="C371" s="13">
        <f t="shared" si="21"/>
        <v>550000</v>
      </c>
      <c r="G371" s="33">
        <v>6765.0685140537735</v>
      </c>
      <c r="H371" s="13">
        <f t="shared" si="22"/>
        <v>300000</v>
      </c>
      <c r="I371" s="13">
        <f t="shared" si="23"/>
        <v>-26445.204016235832</v>
      </c>
    </row>
    <row r="372" spans="1:9" x14ac:dyDescent="0.25">
      <c r="A372" s="33">
        <v>14597.73552659688</v>
      </c>
      <c r="B372">
        <f t="shared" si="20"/>
        <v>300000</v>
      </c>
      <c r="C372" s="13">
        <f t="shared" si="21"/>
        <v>521841.48686178157</v>
      </c>
      <c r="G372" s="33">
        <v>5597.7355265968808</v>
      </c>
      <c r="H372" s="13">
        <f t="shared" si="22"/>
        <v>279886.77632984403</v>
      </c>
      <c r="I372" s="13">
        <f t="shared" si="23"/>
        <v>-108158.51313821832</v>
      </c>
    </row>
    <row r="373" spans="1:9" x14ac:dyDescent="0.25">
      <c r="A373" s="33">
        <v>15685.11001922666</v>
      </c>
      <c r="B373">
        <f t="shared" si="20"/>
        <v>300000</v>
      </c>
      <c r="C373" s="13">
        <f t="shared" si="21"/>
        <v>550000</v>
      </c>
      <c r="G373" s="33">
        <v>6685.1100192266613</v>
      </c>
      <c r="H373" s="13">
        <f t="shared" si="22"/>
        <v>300000</v>
      </c>
      <c r="I373" s="13">
        <f t="shared" si="23"/>
        <v>-32042.298654133687</v>
      </c>
    </row>
    <row r="374" spans="1:9" x14ac:dyDescent="0.25">
      <c r="A374" s="33">
        <v>16041.718802453688</v>
      </c>
      <c r="B374">
        <f t="shared" si="20"/>
        <v>300000</v>
      </c>
      <c r="C374" s="13">
        <f t="shared" si="21"/>
        <v>550000</v>
      </c>
      <c r="G374" s="33">
        <v>7041.7188024536881</v>
      </c>
      <c r="H374" s="13">
        <f t="shared" si="22"/>
        <v>300000</v>
      </c>
      <c r="I374" s="13">
        <f t="shared" si="23"/>
        <v>-7079.6838282418321</v>
      </c>
    </row>
    <row r="375" spans="1:9" x14ac:dyDescent="0.25">
      <c r="A375" s="33">
        <v>12492.110965300455</v>
      </c>
      <c r="B375">
        <f t="shared" si="20"/>
        <v>300000</v>
      </c>
      <c r="C375" s="13">
        <f t="shared" si="21"/>
        <v>374447.76757103181</v>
      </c>
      <c r="G375" s="33">
        <v>3492.1109653004546</v>
      </c>
      <c r="H375" s="13">
        <f t="shared" si="22"/>
        <v>174605.54826502272</v>
      </c>
      <c r="I375" s="13">
        <f t="shared" si="23"/>
        <v>-255552.23242896819</v>
      </c>
    </row>
    <row r="376" spans="1:9" x14ac:dyDescent="0.25">
      <c r="A376" s="33">
        <v>12949.278237250892</v>
      </c>
      <c r="B376">
        <f t="shared" si="20"/>
        <v>300000</v>
      </c>
      <c r="C376" s="13">
        <f t="shared" si="21"/>
        <v>406449.47660756239</v>
      </c>
      <c r="G376" s="33">
        <v>3949.2782372508927</v>
      </c>
      <c r="H376" s="13">
        <f t="shared" si="22"/>
        <v>197463.91186254463</v>
      </c>
      <c r="I376" s="13">
        <f t="shared" si="23"/>
        <v>-223550.52339243749</v>
      </c>
    </row>
    <row r="377" spans="1:9" x14ac:dyDescent="0.25">
      <c r="A377" s="33">
        <v>12540.48280281991</v>
      </c>
      <c r="B377">
        <f t="shared" si="20"/>
        <v>300000</v>
      </c>
      <c r="C377" s="13">
        <f t="shared" si="21"/>
        <v>377833.79619739368</v>
      </c>
      <c r="G377" s="33">
        <v>3540.4828028199104</v>
      </c>
      <c r="H377" s="13">
        <f t="shared" si="22"/>
        <v>177024.14014099553</v>
      </c>
      <c r="I377" s="13">
        <f t="shared" si="23"/>
        <v>-252166.20380260627</v>
      </c>
    </row>
    <row r="378" spans="1:9" x14ac:dyDescent="0.25">
      <c r="A378" s="33">
        <v>12215.308084353161</v>
      </c>
      <c r="B378">
        <f t="shared" si="20"/>
        <v>300000</v>
      </c>
      <c r="C378" s="13">
        <f t="shared" si="21"/>
        <v>355071.56590472127</v>
      </c>
      <c r="G378" s="33">
        <v>3215.3080843531602</v>
      </c>
      <c r="H378" s="13">
        <f t="shared" si="22"/>
        <v>160765.40421765801</v>
      </c>
      <c r="I378" s="13">
        <f t="shared" si="23"/>
        <v>-274928.43409527879</v>
      </c>
    </row>
    <row r="379" spans="1:9" x14ac:dyDescent="0.25">
      <c r="A379" s="33">
        <v>16339.27426984466</v>
      </c>
      <c r="B379">
        <f t="shared" si="20"/>
        <v>300000</v>
      </c>
      <c r="C379" s="13">
        <f t="shared" si="21"/>
        <v>550000</v>
      </c>
      <c r="G379" s="33">
        <v>7339.2742698446609</v>
      </c>
      <c r="H379" s="13">
        <f t="shared" si="22"/>
        <v>300000</v>
      </c>
      <c r="I379" s="13">
        <f t="shared" si="23"/>
        <v>13749.198889126244</v>
      </c>
    </row>
    <row r="380" spans="1:9" x14ac:dyDescent="0.25">
      <c r="A380" s="33">
        <v>16541.764580217903</v>
      </c>
      <c r="B380">
        <f t="shared" si="20"/>
        <v>300000</v>
      </c>
      <c r="C380" s="13">
        <f t="shared" si="21"/>
        <v>550000</v>
      </c>
      <c r="G380" s="33">
        <v>7541.7645802179022</v>
      </c>
      <c r="H380" s="13">
        <f t="shared" si="22"/>
        <v>300000</v>
      </c>
      <c r="I380" s="13">
        <f t="shared" si="23"/>
        <v>27923.520615253132</v>
      </c>
    </row>
    <row r="381" spans="1:9" x14ac:dyDescent="0.25">
      <c r="A381" s="33">
        <v>14655.262916959136</v>
      </c>
      <c r="B381">
        <f t="shared" si="20"/>
        <v>300000</v>
      </c>
      <c r="C381" s="13">
        <f t="shared" si="21"/>
        <v>525868.40418713959</v>
      </c>
      <c r="G381" s="33">
        <v>5655.2629169591364</v>
      </c>
      <c r="H381" s="13">
        <f t="shared" si="22"/>
        <v>282763.14584795682</v>
      </c>
      <c r="I381" s="13">
        <f t="shared" si="23"/>
        <v>-104131.59581286047</v>
      </c>
    </row>
    <row r="382" spans="1:9" x14ac:dyDescent="0.25">
      <c r="A382" s="33">
        <v>12322.42805261391</v>
      </c>
      <c r="B382">
        <f t="shared" si="20"/>
        <v>300000</v>
      </c>
      <c r="C382" s="13">
        <f t="shared" si="21"/>
        <v>362569.96368297376</v>
      </c>
      <c r="G382" s="33">
        <v>3322.4280526139105</v>
      </c>
      <c r="H382" s="13">
        <f t="shared" si="22"/>
        <v>166121.40263069552</v>
      </c>
      <c r="I382" s="13">
        <f t="shared" si="23"/>
        <v>-267430.03631702624</v>
      </c>
    </row>
    <row r="383" spans="1:9" x14ac:dyDescent="0.25">
      <c r="A383" s="33">
        <v>16282.509842219306</v>
      </c>
      <c r="B383">
        <f t="shared" si="20"/>
        <v>300000</v>
      </c>
      <c r="C383" s="13">
        <f t="shared" si="21"/>
        <v>550000</v>
      </c>
      <c r="G383" s="33">
        <v>7282.5098422193059</v>
      </c>
      <c r="H383" s="13">
        <f t="shared" si="22"/>
        <v>300000</v>
      </c>
      <c r="I383" s="13">
        <f t="shared" si="23"/>
        <v>9775.6889553514193</v>
      </c>
    </row>
    <row r="384" spans="1:9" x14ac:dyDescent="0.25">
      <c r="A384" s="33">
        <v>12060.121463667714</v>
      </c>
      <c r="B384">
        <f t="shared" si="20"/>
        <v>300000</v>
      </c>
      <c r="C384" s="13">
        <f t="shared" si="21"/>
        <v>344208.50245674001</v>
      </c>
      <c r="G384" s="33">
        <v>3060.1214636677146</v>
      </c>
      <c r="H384" s="13">
        <f t="shared" si="22"/>
        <v>153006.07318338574</v>
      </c>
      <c r="I384" s="13">
        <f t="shared" si="23"/>
        <v>-285791.49754325999</v>
      </c>
    </row>
    <row r="385" spans="1:9" x14ac:dyDescent="0.25">
      <c r="A385" s="33">
        <v>13625.56840723899</v>
      </c>
      <c r="B385">
        <f t="shared" si="20"/>
        <v>300000</v>
      </c>
      <c r="C385" s="13">
        <f t="shared" si="21"/>
        <v>453789.7885067293</v>
      </c>
      <c r="G385" s="33">
        <v>4625.5684072389904</v>
      </c>
      <c r="H385" s="13">
        <f t="shared" si="22"/>
        <v>231278.42036194951</v>
      </c>
      <c r="I385" s="13">
        <f t="shared" si="23"/>
        <v>-176210.21149327065</v>
      </c>
    </row>
    <row r="386" spans="1:9" x14ac:dyDescent="0.25">
      <c r="A386" s="33">
        <v>14115.848261970885</v>
      </c>
      <c r="B386">
        <f t="shared" si="20"/>
        <v>300000</v>
      </c>
      <c r="C386" s="13">
        <f t="shared" si="21"/>
        <v>488109.37833796197</v>
      </c>
      <c r="G386" s="33">
        <v>5115.8482619708848</v>
      </c>
      <c r="H386" s="13">
        <f t="shared" si="22"/>
        <v>255792.41309854423</v>
      </c>
      <c r="I386" s="13">
        <f t="shared" si="23"/>
        <v>-141890.62166203809</v>
      </c>
    </row>
    <row r="387" spans="1:9" x14ac:dyDescent="0.25">
      <c r="A387" s="33">
        <v>13939.298684652242</v>
      </c>
      <c r="B387">
        <f t="shared" si="20"/>
        <v>300000</v>
      </c>
      <c r="C387" s="13">
        <f t="shared" si="21"/>
        <v>475750.90792565688</v>
      </c>
      <c r="G387" s="33">
        <v>4939.2986846522417</v>
      </c>
      <c r="H387" s="13">
        <f t="shared" si="22"/>
        <v>246964.93423261208</v>
      </c>
      <c r="I387" s="13">
        <f t="shared" si="23"/>
        <v>-154249.09207434306</v>
      </c>
    </row>
    <row r="388" spans="1:9" x14ac:dyDescent="0.25">
      <c r="A388" s="33">
        <v>12527.665028839991</v>
      </c>
      <c r="B388">
        <f t="shared" si="20"/>
        <v>300000</v>
      </c>
      <c r="C388" s="13">
        <f t="shared" si="21"/>
        <v>376936.55201879935</v>
      </c>
      <c r="G388" s="33">
        <v>3527.6650288399915</v>
      </c>
      <c r="H388" s="13">
        <f t="shared" si="22"/>
        <v>176383.25144199957</v>
      </c>
      <c r="I388" s="13">
        <f t="shared" si="23"/>
        <v>-253063.44798120059</v>
      </c>
    </row>
    <row r="389" spans="1:9" x14ac:dyDescent="0.25">
      <c r="A389" s="33">
        <v>14263.252662739953</v>
      </c>
      <c r="B389">
        <f t="shared" si="20"/>
        <v>300000</v>
      </c>
      <c r="C389" s="13">
        <f t="shared" si="21"/>
        <v>498427.68639179668</v>
      </c>
      <c r="G389" s="33">
        <v>5263.252662739952</v>
      </c>
      <c r="H389" s="13">
        <f t="shared" si="22"/>
        <v>263162.63313699758</v>
      </c>
      <c r="I389" s="13">
        <f t="shared" si="23"/>
        <v>-131572.31360820337</v>
      </c>
    </row>
    <row r="390" spans="1:9" x14ac:dyDescent="0.25">
      <c r="A390" s="33">
        <v>14022.156437879574</v>
      </c>
      <c r="B390">
        <f t="shared" si="20"/>
        <v>300000</v>
      </c>
      <c r="C390" s="13">
        <f t="shared" si="21"/>
        <v>481550.95065157022</v>
      </c>
      <c r="G390" s="33">
        <v>5022.1564378795738</v>
      </c>
      <c r="H390" s="13">
        <f t="shared" si="22"/>
        <v>251107.82189397869</v>
      </c>
      <c r="I390" s="13">
        <f t="shared" si="23"/>
        <v>-148449.04934842983</v>
      </c>
    </row>
    <row r="391" spans="1:9" x14ac:dyDescent="0.25">
      <c r="A391" s="33">
        <v>14944.273201696829</v>
      </c>
      <c r="B391">
        <f t="shared" si="20"/>
        <v>300000</v>
      </c>
      <c r="C391" s="13">
        <f t="shared" si="21"/>
        <v>546099.12411877804</v>
      </c>
      <c r="G391" s="33">
        <v>5944.2732016968293</v>
      </c>
      <c r="H391" s="13">
        <f t="shared" si="22"/>
        <v>297213.66008484148</v>
      </c>
      <c r="I391" s="13">
        <f t="shared" si="23"/>
        <v>-83900.87588122196</v>
      </c>
    </row>
    <row r="392" spans="1:9" x14ac:dyDescent="0.25">
      <c r="A392" s="33">
        <v>13795.861690115054</v>
      </c>
      <c r="B392">
        <f t="shared" si="20"/>
        <v>300000</v>
      </c>
      <c r="C392" s="13">
        <f t="shared" si="21"/>
        <v>465710.31830805377</v>
      </c>
      <c r="G392" s="33">
        <v>4795.8616901150544</v>
      </c>
      <c r="H392" s="13">
        <f t="shared" si="22"/>
        <v>239793.08450575272</v>
      </c>
      <c r="I392" s="13">
        <f t="shared" si="23"/>
        <v>-164289.68169194617</v>
      </c>
    </row>
    <row r="393" spans="1:9" x14ac:dyDescent="0.25">
      <c r="A393" s="33">
        <v>13243.476668599506</v>
      </c>
      <c r="B393">
        <f t="shared" si="20"/>
        <v>300000</v>
      </c>
      <c r="C393" s="13">
        <f t="shared" si="21"/>
        <v>427043.3668019654</v>
      </c>
      <c r="G393" s="33">
        <v>4243.4766685995055</v>
      </c>
      <c r="H393" s="13">
        <f t="shared" si="22"/>
        <v>212173.83342997526</v>
      </c>
      <c r="I393" s="13">
        <f t="shared" si="23"/>
        <v>-202956.6331980346</v>
      </c>
    </row>
    <row r="394" spans="1:9" x14ac:dyDescent="0.25">
      <c r="A394" s="33">
        <v>16822.534867397077</v>
      </c>
      <c r="B394">
        <f t="shared" si="20"/>
        <v>300000</v>
      </c>
      <c r="C394" s="13">
        <f t="shared" si="21"/>
        <v>550000</v>
      </c>
      <c r="G394" s="33">
        <v>7822.5348673970766</v>
      </c>
      <c r="H394" s="13">
        <f t="shared" si="22"/>
        <v>300000</v>
      </c>
      <c r="I394" s="13">
        <f t="shared" si="23"/>
        <v>47577.440717795398</v>
      </c>
    </row>
    <row r="395" spans="1:9" x14ac:dyDescent="0.25">
      <c r="A395" s="33">
        <v>13032.898953215124</v>
      </c>
      <c r="B395">
        <f t="shared" ref="B395:B458" si="24">MIN(A395,6000)*50</f>
        <v>300000</v>
      </c>
      <c r="C395" s="13">
        <f t="shared" ref="C395:C458" si="25">MIN(A395,$C$3)*$C$6-500000</f>
        <v>412302.9267250587</v>
      </c>
      <c r="G395" s="33">
        <v>4032.8989532151249</v>
      </c>
      <c r="H395" s="13">
        <f t="shared" ref="H395:H458" si="26">MIN(G395,6000)*50</f>
        <v>201644.94766075624</v>
      </c>
      <c r="I395" s="13">
        <f t="shared" ref="I395:I458" si="27">MIN(G395,15000)*70-500000</f>
        <v>-217697.07327494124</v>
      </c>
    </row>
    <row r="396" spans="1:9" x14ac:dyDescent="0.25">
      <c r="A396" s="33">
        <v>12923.032319101536</v>
      </c>
      <c r="B396">
        <f t="shared" si="24"/>
        <v>300000</v>
      </c>
      <c r="C396" s="13">
        <f t="shared" si="25"/>
        <v>404612.26233710756</v>
      </c>
      <c r="G396" s="33">
        <v>3923.032319101535</v>
      </c>
      <c r="H396" s="13">
        <f t="shared" si="26"/>
        <v>196151.61595507676</v>
      </c>
      <c r="I396" s="13">
        <f t="shared" si="27"/>
        <v>-225387.73766289256</v>
      </c>
    </row>
    <row r="397" spans="1:9" x14ac:dyDescent="0.25">
      <c r="A397" s="33">
        <v>12099.185155796991</v>
      </c>
      <c r="B397">
        <f t="shared" si="24"/>
        <v>300000</v>
      </c>
      <c r="C397" s="13">
        <f t="shared" si="25"/>
        <v>346942.9609057894</v>
      </c>
      <c r="G397" s="33">
        <v>3099.1851557969908</v>
      </c>
      <c r="H397" s="13">
        <f t="shared" si="26"/>
        <v>154959.25778984954</v>
      </c>
      <c r="I397" s="13">
        <f t="shared" si="27"/>
        <v>-283057.0390942106</v>
      </c>
    </row>
    <row r="398" spans="1:9" x14ac:dyDescent="0.25">
      <c r="A398" s="33">
        <v>12295.876949369793</v>
      </c>
      <c r="B398">
        <f t="shared" si="24"/>
        <v>300000</v>
      </c>
      <c r="C398" s="13">
        <f t="shared" si="25"/>
        <v>360711.38645588548</v>
      </c>
      <c r="G398" s="33">
        <v>3295.8769493697928</v>
      </c>
      <c r="H398" s="13">
        <f t="shared" si="26"/>
        <v>164793.84746848964</v>
      </c>
      <c r="I398" s="13">
        <f t="shared" si="27"/>
        <v>-269288.61354411452</v>
      </c>
    </row>
    <row r="399" spans="1:9" x14ac:dyDescent="0.25">
      <c r="A399" s="33">
        <v>13234.778893398847</v>
      </c>
      <c r="B399">
        <f t="shared" si="24"/>
        <v>300000</v>
      </c>
      <c r="C399" s="13">
        <f t="shared" si="25"/>
        <v>426434.52253791923</v>
      </c>
      <c r="G399" s="33">
        <v>4234.7788933988468</v>
      </c>
      <c r="H399" s="13">
        <f t="shared" si="26"/>
        <v>211738.94466994234</v>
      </c>
      <c r="I399" s="13">
        <f t="shared" si="27"/>
        <v>-203565.47746208071</v>
      </c>
    </row>
    <row r="400" spans="1:9" x14ac:dyDescent="0.25">
      <c r="A400" s="33">
        <v>14217.017120883816</v>
      </c>
      <c r="B400">
        <f t="shared" si="24"/>
        <v>300000</v>
      </c>
      <c r="C400" s="13">
        <f t="shared" si="25"/>
        <v>495191.19846186717</v>
      </c>
      <c r="G400" s="33">
        <v>5217.0171208838165</v>
      </c>
      <c r="H400" s="13">
        <f t="shared" si="26"/>
        <v>260850.85604419082</v>
      </c>
      <c r="I400" s="13">
        <f t="shared" si="27"/>
        <v>-134808.80153813283</v>
      </c>
    </row>
    <row r="401" spans="1:9" x14ac:dyDescent="0.25">
      <c r="A401" s="33">
        <v>12215.91845454268</v>
      </c>
      <c r="B401">
        <f t="shared" si="24"/>
        <v>300000</v>
      </c>
      <c r="C401" s="13">
        <f t="shared" si="25"/>
        <v>355114.29181798757</v>
      </c>
      <c r="G401" s="33">
        <v>3215.9184545426801</v>
      </c>
      <c r="H401" s="13">
        <f t="shared" si="26"/>
        <v>160795.92272713402</v>
      </c>
      <c r="I401" s="13">
        <f t="shared" si="27"/>
        <v>-274885.70818201243</v>
      </c>
    </row>
    <row r="402" spans="1:9" x14ac:dyDescent="0.25">
      <c r="A402" s="33">
        <v>15858.302560502945</v>
      </c>
      <c r="B402">
        <f t="shared" si="24"/>
        <v>300000</v>
      </c>
      <c r="C402" s="13">
        <f t="shared" si="25"/>
        <v>550000</v>
      </c>
      <c r="G402" s="33">
        <v>6858.3025605029452</v>
      </c>
      <c r="H402" s="13">
        <f t="shared" si="26"/>
        <v>300000</v>
      </c>
      <c r="I402" s="13">
        <f t="shared" si="27"/>
        <v>-19918.82076479384</v>
      </c>
    </row>
    <row r="403" spans="1:9" x14ac:dyDescent="0.25">
      <c r="A403" s="33">
        <v>13085.695974608599</v>
      </c>
      <c r="B403">
        <f t="shared" si="24"/>
        <v>300000</v>
      </c>
      <c r="C403" s="13">
        <f t="shared" si="25"/>
        <v>415998.71822260192</v>
      </c>
      <c r="G403" s="33">
        <v>4085.6959746086</v>
      </c>
      <c r="H403" s="13">
        <f t="shared" si="26"/>
        <v>204284.79873042999</v>
      </c>
      <c r="I403" s="13">
        <f t="shared" si="27"/>
        <v>-214001.28177739802</v>
      </c>
    </row>
    <row r="404" spans="1:9" x14ac:dyDescent="0.25">
      <c r="A404" s="33">
        <v>16225.287636951811</v>
      </c>
      <c r="B404">
        <f t="shared" si="24"/>
        <v>300000</v>
      </c>
      <c r="C404" s="13">
        <f t="shared" si="25"/>
        <v>550000</v>
      </c>
      <c r="G404" s="33">
        <v>7225.2876369518108</v>
      </c>
      <c r="H404" s="13">
        <f t="shared" si="26"/>
        <v>300000</v>
      </c>
      <c r="I404" s="13">
        <f t="shared" si="27"/>
        <v>5770.1345866267802</v>
      </c>
    </row>
    <row r="405" spans="1:9" x14ac:dyDescent="0.25">
      <c r="A405" s="33">
        <v>16986.877040925319</v>
      </c>
      <c r="B405">
        <f t="shared" si="24"/>
        <v>300000</v>
      </c>
      <c r="C405" s="13">
        <f t="shared" si="25"/>
        <v>550000</v>
      </c>
      <c r="G405" s="33">
        <v>7986.8770409253211</v>
      </c>
      <c r="H405" s="13">
        <f t="shared" si="26"/>
        <v>300000</v>
      </c>
      <c r="I405" s="13">
        <f t="shared" si="27"/>
        <v>59081.392864772468</v>
      </c>
    </row>
    <row r="406" spans="1:9" x14ac:dyDescent="0.25">
      <c r="A406" s="33">
        <v>12723.593859675893</v>
      </c>
      <c r="B406">
        <f t="shared" si="24"/>
        <v>300000</v>
      </c>
      <c r="C406" s="13">
        <f t="shared" si="25"/>
        <v>390651.57017731247</v>
      </c>
      <c r="G406" s="33">
        <v>3723.5938596758933</v>
      </c>
      <c r="H406" s="13">
        <f t="shared" si="26"/>
        <v>186179.69298379467</v>
      </c>
      <c r="I406" s="13">
        <f t="shared" si="27"/>
        <v>-239348.42982268747</v>
      </c>
    </row>
    <row r="407" spans="1:9" x14ac:dyDescent="0.25">
      <c r="A407" s="33">
        <v>13262.703329569384</v>
      </c>
      <c r="B407">
        <f t="shared" si="24"/>
        <v>300000</v>
      </c>
      <c r="C407" s="13">
        <f t="shared" si="25"/>
        <v>428389.23306985688</v>
      </c>
      <c r="G407" s="33">
        <v>4262.7033295693836</v>
      </c>
      <c r="H407" s="13">
        <f t="shared" si="26"/>
        <v>213135.16647846918</v>
      </c>
      <c r="I407" s="13">
        <f t="shared" si="27"/>
        <v>-201610.76693014312</v>
      </c>
    </row>
    <row r="408" spans="1:9" x14ac:dyDescent="0.25">
      <c r="A408" s="33">
        <v>15454.237495040743</v>
      </c>
      <c r="B408">
        <f t="shared" si="24"/>
        <v>300000</v>
      </c>
      <c r="C408" s="13">
        <f t="shared" si="25"/>
        <v>550000</v>
      </c>
      <c r="G408" s="33">
        <v>6454.2374950407429</v>
      </c>
      <c r="H408" s="13">
        <f t="shared" si="26"/>
        <v>300000</v>
      </c>
      <c r="I408" s="13">
        <f t="shared" si="27"/>
        <v>-48203.375347147987</v>
      </c>
    </row>
    <row r="409" spans="1:9" x14ac:dyDescent="0.25">
      <c r="A409" s="33">
        <v>13779.686880092777</v>
      </c>
      <c r="B409">
        <f t="shared" si="24"/>
        <v>300000</v>
      </c>
      <c r="C409" s="13">
        <f t="shared" si="25"/>
        <v>464578.08160649438</v>
      </c>
      <c r="G409" s="33">
        <v>4779.6868800927759</v>
      </c>
      <c r="H409" s="13">
        <f t="shared" si="26"/>
        <v>238984.34400463878</v>
      </c>
      <c r="I409" s="13">
        <f t="shared" si="27"/>
        <v>-165421.91839350568</v>
      </c>
    </row>
    <row r="410" spans="1:9" x14ac:dyDescent="0.25">
      <c r="A410" s="33">
        <v>12625.934629352701</v>
      </c>
      <c r="B410">
        <f t="shared" si="24"/>
        <v>300000</v>
      </c>
      <c r="C410" s="13">
        <f t="shared" si="25"/>
        <v>383815.42405468912</v>
      </c>
      <c r="G410" s="33">
        <v>3625.9346293527024</v>
      </c>
      <c r="H410" s="13">
        <f t="shared" si="26"/>
        <v>181296.73146763511</v>
      </c>
      <c r="I410" s="13">
        <f t="shared" si="27"/>
        <v>-246184.57594531085</v>
      </c>
    </row>
    <row r="411" spans="1:9" x14ac:dyDescent="0.25">
      <c r="A411" s="33">
        <v>16549.851985229041</v>
      </c>
      <c r="B411">
        <f t="shared" si="24"/>
        <v>300000</v>
      </c>
      <c r="C411" s="13">
        <f t="shared" si="25"/>
        <v>550000</v>
      </c>
      <c r="G411" s="33">
        <v>7549.851985229041</v>
      </c>
      <c r="H411" s="13">
        <f t="shared" si="26"/>
        <v>300000</v>
      </c>
      <c r="I411" s="13">
        <f t="shared" si="27"/>
        <v>28489.638966032886</v>
      </c>
    </row>
    <row r="412" spans="1:9" x14ac:dyDescent="0.25">
      <c r="A412" s="33">
        <v>15097.476119266335</v>
      </c>
      <c r="B412">
        <f t="shared" si="24"/>
        <v>300000</v>
      </c>
      <c r="C412" s="13">
        <f t="shared" si="25"/>
        <v>550000</v>
      </c>
      <c r="G412" s="33">
        <v>6097.4761192663354</v>
      </c>
      <c r="H412" s="13">
        <f t="shared" si="26"/>
        <v>300000</v>
      </c>
      <c r="I412" s="13">
        <f t="shared" si="27"/>
        <v>-73176.671651356504</v>
      </c>
    </row>
    <row r="413" spans="1:9" x14ac:dyDescent="0.25">
      <c r="A413" s="33">
        <v>15877.834406567583</v>
      </c>
      <c r="B413">
        <f t="shared" si="24"/>
        <v>300000</v>
      </c>
      <c r="C413" s="13">
        <f t="shared" si="25"/>
        <v>550000</v>
      </c>
      <c r="G413" s="33">
        <v>6877.8344065675828</v>
      </c>
      <c r="H413" s="13">
        <f t="shared" si="26"/>
        <v>300000</v>
      </c>
      <c r="I413" s="13">
        <f t="shared" si="27"/>
        <v>-18551.591540269204</v>
      </c>
    </row>
    <row r="414" spans="1:9" x14ac:dyDescent="0.25">
      <c r="A414" s="33">
        <v>14625.659962767419</v>
      </c>
      <c r="B414">
        <f t="shared" si="24"/>
        <v>300000</v>
      </c>
      <c r="C414" s="13">
        <f t="shared" si="25"/>
        <v>523796.19739371934</v>
      </c>
      <c r="G414" s="33">
        <v>5625.6599627674186</v>
      </c>
      <c r="H414" s="13">
        <f t="shared" si="26"/>
        <v>281282.99813837092</v>
      </c>
      <c r="I414" s="13">
        <f t="shared" si="27"/>
        <v>-106203.80260628072</v>
      </c>
    </row>
    <row r="415" spans="1:9" x14ac:dyDescent="0.25">
      <c r="A415" s="33">
        <v>16539.475692007203</v>
      </c>
      <c r="B415">
        <f t="shared" si="24"/>
        <v>300000</v>
      </c>
      <c r="C415" s="13">
        <f t="shared" si="25"/>
        <v>550000</v>
      </c>
      <c r="G415" s="33">
        <v>7539.4756920072023</v>
      </c>
      <c r="H415" s="13">
        <f t="shared" si="26"/>
        <v>300000</v>
      </c>
      <c r="I415" s="13">
        <f t="shared" si="27"/>
        <v>27763.298440504121</v>
      </c>
    </row>
    <row r="416" spans="1:9" x14ac:dyDescent="0.25">
      <c r="A416" s="33">
        <v>14555.772576067386</v>
      </c>
      <c r="B416">
        <f t="shared" si="24"/>
        <v>300000</v>
      </c>
      <c r="C416" s="13">
        <f t="shared" si="25"/>
        <v>518904.08032471698</v>
      </c>
      <c r="G416" s="33">
        <v>5555.7725760673848</v>
      </c>
      <c r="H416" s="13">
        <f t="shared" si="26"/>
        <v>277788.62880336924</v>
      </c>
      <c r="I416" s="13">
        <f t="shared" si="27"/>
        <v>-111095.91967528308</v>
      </c>
    </row>
    <row r="417" spans="1:9" x14ac:dyDescent="0.25">
      <c r="A417" s="33">
        <v>12043.794061098057</v>
      </c>
      <c r="B417">
        <f t="shared" si="24"/>
        <v>300000</v>
      </c>
      <c r="C417" s="13">
        <f t="shared" si="25"/>
        <v>343065.58427686396</v>
      </c>
      <c r="G417" s="33">
        <v>3043.7940610980559</v>
      </c>
      <c r="H417" s="13">
        <f t="shared" si="26"/>
        <v>152189.70305490278</v>
      </c>
      <c r="I417" s="13">
        <f t="shared" si="27"/>
        <v>-286934.4157231361</v>
      </c>
    </row>
    <row r="418" spans="1:9" x14ac:dyDescent="0.25">
      <c r="A418" s="33">
        <v>14036.805322428052</v>
      </c>
      <c r="B418">
        <f t="shared" si="24"/>
        <v>300000</v>
      </c>
      <c r="C418" s="13">
        <f t="shared" si="25"/>
        <v>482576.37256996369</v>
      </c>
      <c r="G418" s="33">
        <v>5036.8053224280529</v>
      </c>
      <c r="H418" s="13">
        <f t="shared" si="26"/>
        <v>251840.26612140264</v>
      </c>
      <c r="I418" s="13">
        <f t="shared" si="27"/>
        <v>-147423.62743003631</v>
      </c>
    </row>
    <row r="419" spans="1:9" x14ac:dyDescent="0.25">
      <c r="A419" s="33">
        <v>14976.928006836146</v>
      </c>
      <c r="B419">
        <f t="shared" si="24"/>
        <v>300000</v>
      </c>
      <c r="C419" s="13">
        <f t="shared" si="25"/>
        <v>548384.96047853027</v>
      </c>
      <c r="G419" s="33">
        <v>5976.9280068361459</v>
      </c>
      <c r="H419" s="13">
        <f t="shared" si="26"/>
        <v>298846.40034180728</v>
      </c>
      <c r="I419" s="13">
        <f t="shared" si="27"/>
        <v>-81615.039521469793</v>
      </c>
    </row>
    <row r="420" spans="1:9" x14ac:dyDescent="0.25">
      <c r="A420" s="33">
        <v>13028.778954435866</v>
      </c>
      <c r="B420">
        <f t="shared" si="24"/>
        <v>300000</v>
      </c>
      <c r="C420" s="13">
        <f t="shared" si="25"/>
        <v>412014.52681051055</v>
      </c>
      <c r="G420" s="33">
        <v>4028.7789544358657</v>
      </c>
      <c r="H420" s="13">
        <f t="shared" si="26"/>
        <v>201438.94772179329</v>
      </c>
      <c r="I420" s="13">
        <f t="shared" si="27"/>
        <v>-217985.47318948939</v>
      </c>
    </row>
    <row r="421" spans="1:9" x14ac:dyDescent="0.25">
      <c r="A421" s="33">
        <v>13871.395001068147</v>
      </c>
      <c r="B421">
        <f t="shared" si="24"/>
        <v>300000</v>
      </c>
      <c r="C421" s="13">
        <f t="shared" si="25"/>
        <v>470997.65007477032</v>
      </c>
      <c r="G421" s="33">
        <v>4871.3950010681474</v>
      </c>
      <c r="H421" s="13">
        <f t="shared" si="26"/>
        <v>243569.75005340736</v>
      </c>
      <c r="I421" s="13">
        <f t="shared" si="27"/>
        <v>-159002.34992522968</v>
      </c>
    </row>
    <row r="422" spans="1:9" x14ac:dyDescent="0.25">
      <c r="A422" s="33">
        <v>16004.638813440351</v>
      </c>
      <c r="B422">
        <f t="shared" si="24"/>
        <v>300000</v>
      </c>
      <c r="C422" s="13">
        <f t="shared" si="25"/>
        <v>550000</v>
      </c>
      <c r="G422" s="33">
        <v>7004.6388134403514</v>
      </c>
      <c r="H422" s="13">
        <f t="shared" si="26"/>
        <v>300000</v>
      </c>
      <c r="I422" s="13">
        <f t="shared" si="27"/>
        <v>-9675.2830591754173</v>
      </c>
    </row>
    <row r="423" spans="1:9" x14ac:dyDescent="0.25">
      <c r="A423" s="33">
        <v>14154.148991363261</v>
      </c>
      <c r="B423">
        <f t="shared" si="24"/>
        <v>300000</v>
      </c>
      <c r="C423" s="13">
        <f t="shared" si="25"/>
        <v>490790.42939542828</v>
      </c>
      <c r="G423" s="33">
        <v>5154.1489913632613</v>
      </c>
      <c r="H423" s="13">
        <f t="shared" si="26"/>
        <v>257707.44956816308</v>
      </c>
      <c r="I423" s="13">
        <f t="shared" si="27"/>
        <v>-139209.57060457172</v>
      </c>
    </row>
    <row r="424" spans="1:9" x14ac:dyDescent="0.25">
      <c r="A424" s="33">
        <v>12960.264900662252</v>
      </c>
      <c r="B424">
        <f t="shared" si="24"/>
        <v>300000</v>
      </c>
      <c r="C424" s="13">
        <f t="shared" si="25"/>
        <v>407218.54304635769</v>
      </c>
      <c r="G424" s="33">
        <v>3960.2649006622514</v>
      </c>
      <c r="H424" s="13">
        <f t="shared" si="26"/>
        <v>198013.24503311256</v>
      </c>
      <c r="I424" s="13">
        <f t="shared" si="27"/>
        <v>-222781.45695364242</v>
      </c>
    </row>
    <row r="425" spans="1:9" x14ac:dyDescent="0.25">
      <c r="A425" s="33">
        <v>13571.703238013855</v>
      </c>
      <c r="B425">
        <f t="shared" si="24"/>
        <v>300000</v>
      </c>
      <c r="C425" s="13">
        <f t="shared" si="25"/>
        <v>450019.2266609699</v>
      </c>
      <c r="G425" s="33">
        <v>4571.7032380138553</v>
      </c>
      <c r="H425" s="13">
        <f t="shared" si="26"/>
        <v>228585.16190069276</v>
      </c>
      <c r="I425" s="13">
        <f t="shared" si="27"/>
        <v>-179980.7733390301</v>
      </c>
    </row>
    <row r="426" spans="1:9" x14ac:dyDescent="0.25">
      <c r="A426" s="33">
        <v>12764.03088473159</v>
      </c>
      <c r="B426">
        <f t="shared" si="24"/>
        <v>300000</v>
      </c>
      <c r="C426" s="13">
        <f t="shared" si="25"/>
        <v>393482.16193121136</v>
      </c>
      <c r="G426" s="33">
        <v>3764.0308847315896</v>
      </c>
      <c r="H426" s="13">
        <f t="shared" si="26"/>
        <v>188201.54423657947</v>
      </c>
      <c r="I426" s="13">
        <f t="shared" si="27"/>
        <v>-236517.83806878875</v>
      </c>
    </row>
    <row r="427" spans="1:9" x14ac:dyDescent="0.25">
      <c r="A427" s="33">
        <v>13257.057405316324</v>
      </c>
      <c r="B427">
        <f t="shared" si="24"/>
        <v>300000</v>
      </c>
      <c r="C427" s="13">
        <f t="shared" si="25"/>
        <v>427994.01837214269</v>
      </c>
      <c r="G427" s="33">
        <v>4257.0574053163245</v>
      </c>
      <c r="H427" s="13">
        <f t="shared" si="26"/>
        <v>212852.87026581622</v>
      </c>
      <c r="I427" s="13">
        <f t="shared" si="27"/>
        <v>-202005.98162785725</v>
      </c>
    </row>
    <row r="428" spans="1:9" x14ac:dyDescent="0.25">
      <c r="A428" s="33">
        <v>16619.129001739555</v>
      </c>
      <c r="B428">
        <f t="shared" si="24"/>
        <v>300000</v>
      </c>
      <c r="C428" s="13">
        <f t="shared" si="25"/>
        <v>550000</v>
      </c>
      <c r="G428" s="33">
        <v>7619.129001739555</v>
      </c>
      <c r="H428" s="13">
        <f t="shared" si="26"/>
        <v>300000</v>
      </c>
      <c r="I428" s="13">
        <f t="shared" si="27"/>
        <v>33339.030121768825</v>
      </c>
    </row>
    <row r="429" spans="1:9" x14ac:dyDescent="0.25">
      <c r="A429" s="33">
        <v>12359.355449079867</v>
      </c>
      <c r="B429">
        <f t="shared" si="24"/>
        <v>300000</v>
      </c>
      <c r="C429" s="13">
        <f t="shared" si="25"/>
        <v>365154.88143559068</v>
      </c>
      <c r="G429" s="33">
        <v>3359.355449079867</v>
      </c>
      <c r="H429" s="13">
        <f t="shared" si="26"/>
        <v>167967.77245399336</v>
      </c>
      <c r="I429" s="13">
        <f t="shared" si="27"/>
        <v>-264845.11856440932</v>
      </c>
    </row>
    <row r="430" spans="1:9" x14ac:dyDescent="0.25">
      <c r="A430" s="33">
        <v>14111.880855739006</v>
      </c>
      <c r="B430">
        <f t="shared" si="24"/>
        <v>300000</v>
      </c>
      <c r="C430" s="13">
        <f t="shared" si="25"/>
        <v>487831.65990173037</v>
      </c>
      <c r="G430" s="33">
        <v>5111.8808557390057</v>
      </c>
      <c r="H430" s="13">
        <f t="shared" si="26"/>
        <v>255594.04278695027</v>
      </c>
      <c r="I430" s="13">
        <f t="shared" si="27"/>
        <v>-142168.34009826957</v>
      </c>
    </row>
    <row r="431" spans="1:9" x14ac:dyDescent="0.25">
      <c r="A431" s="33">
        <v>15075.655384990998</v>
      </c>
      <c r="B431">
        <f t="shared" si="24"/>
        <v>300000</v>
      </c>
      <c r="C431" s="13">
        <f t="shared" si="25"/>
        <v>550000</v>
      </c>
      <c r="G431" s="33">
        <v>6075.6553849909969</v>
      </c>
      <c r="H431" s="13">
        <f t="shared" si="26"/>
        <v>300000</v>
      </c>
      <c r="I431" s="13">
        <f t="shared" si="27"/>
        <v>-74704.123050630209</v>
      </c>
    </row>
    <row r="432" spans="1:9" x14ac:dyDescent="0.25">
      <c r="A432" s="33">
        <v>16594.256416516619</v>
      </c>
      <c r="B432">
        <f t="shared" si="24"/>
        <v>300000</v>
      </c>
      <c r="C432" s="13">
        <f t="shared" si="25"/>
        <v>550000</v>
      </c>
      <c r="G432" s="33">
        <v>7594.2564165166168</v>
      </c>
      <c r="H432" s="13">
        <f t="shared" si="26"/>
        <v>300000</v>
      </c>
      <c r="I432" s="13">
        <f t="shared" si="27"/>
        <v>31597.949156163144</v>
      </c>
    </row>
    <row r="433" spans="1:9" x14ac:dyDescent="0.25">
      <c r="A433" s="33">
        <v>12087.893307290871</v>
      </c>
      <c r="B433">
        <f t="shared" si="24"/>
        <v>300000</v>
      </c>
      <c r="C433" s="13">
        <f t="shared" si="25"/>
        <v>346152.531510361</v>
      </c>
      <c r="G433" s="33">
        <v>3087.8933072908721</v>
      </c>
      <c r="H433" s="13">
        <f t="shared" si="26"/>
        <v>154394.66536454362</v>
      </c>
      <c r="I433" s="13">
        <f t="shared" si="27"/>
        <v>-283847.46848963894</v>
      </c>
    </row>
    <row r="434" spans="1:9" x14ac:dyDescent="0.25">
      <c r="A434" s="33">
        <v>13122.470778527177</v>
      </c>
      <c r="B434">
        <f t="shared" si="24"/>
        <v>300000</v>
      </c>
      <c r="C434" s="13">
        <f t="shared" si="25"/>
        <v>418572.95449690241</v>
      </c>
      <c r="G434" s="33">
        <v>4122.4707785271767</v>
      </c>
      <c r="H434" s="13">
        <f t="shared" si="26"/>
        <v>206123.53892635883</v>
      </c>
      <c r="I434" s="13">
        <f t="shared" si="27"/>
        <v>-211427.04550309764</v>
      </c>
    </row>
    <row r="435" spans="1:9" x14ac:dyDescent="0.25">
      <c r="A435" s="33">
        <v>16981.383709219641</v>
      </c>
      <c r="B435">
        <f t="shared" si="24"/>
        <v>300000</v>
      </c>
      <c r="C435" s="13">
        <f t="shared" si="25"/>
        <v>550000</v>
      </c>
      <c r="G435" s="33">
        <v>7981.3837092196418</v>
      </c>
      <c r="H435" s="13">
        <f t="shared" si="26"/>
        <v>300000</v>
      </c>
      <c r="I435" s="13">
        <f t="shared" si="27"/>
        <v>58696.859645374934</v>
      </c>
    </row>
    <row r="436" spans="1:9" x14ac:dyDescent="0.25">
      <c r="A436" s="33">
        <v>13489.455854976044</v>
      </c>
      <c r="B436">
        <f t="shared" si="24"/>
        <v>300000</v>
      </c>
      <c r="C436" s="13">
        <f t="shared" si="25"/>
        <v>444261.90984832309</v>
      </c>
      <c r="G436" s="33">
        <v>4489.4558549760432</v>
      </c>
      <c r="H436" s="13">
        <f t="shared" si="26"/>
        <v>224472.79274880217</v>
      </c>
      <c r="I436" s="13">
        <f t="shared" si="27"/>
        <v>-185738.09015167697</v>
      </c>
    </row>
    <row r="437" spans="1:9" x14ac:dyDescent="0.25">
      <c r="A437" s="33">
        <v>15294.778283028656</v>
      </c>
      <c r="B437">
        <f t="shared" si="24"/>
        <v>300000</v>
      </c>
      <c r="C437" s="13">
        <f t="shared" si="25"/>
        <v>550000</v>
      </c>
      <c r="G437" s="33">
        <v>6294.7782830286569</v>
      </c>
      <c r="H437" s="13">
        <f t="shared" si="26"/>
        <v>300000</v>
      </c>
      <c r="I437" s="13">
        <f t="shared" si="27"/>
        <v>-59365.520187994</v>
      </c>
    </row>
    <row r="438" spans="1:9" x14ac:dyDescent="0.25">
      <c r="A438" s="33">
        <v>16639.118625446332</v>
      </c>
      <c r="B438">
        <f t="shared" si="24"/>
        <v>300000</v>
      </c>
      <c r="C438" s="13">
        <f t="shared" si="25"/>
        <v>550000</v>
      </c>
      <c r="G438" s="33">
        <v>7639.1186254463337</v>
      </c>
      <c r="H438" s="13">
        <f t="shared" si="26"/>
        <v>300000</v>
      </c>
      <c r="I438" s="13">
        <f t="shared" si="27"/>
        <v>34738.30378124339</v>
      </c>
    </row>
    <row r="439" spans="1:9" x14ac:dyDescent="0.25">
      <c r="A439" s="33">
        <v>12577.257606738487</v>
      </c>
      <c r="B439">
        <f t="shared" si="24"/>
        <v>300000</v>
      </c>
      <c r="C439" s="13">
        <f t="shared" si="25"/>
        <v>380408.03247169405</v>
      </c>
      <c r="G439" s="33">
        <v>3577.2576067384871</v>
      </c>
      <c r="H439" s="13">
        <f t="shared" si="26"/>
        <v>178862.88033692434</v>
      </c>
      <c r="I439" s="13">
        <f t="shared" si="27"/>
        <v>-249591.96752830589</v>
      </c>
    </row>
    <row r="440" spans="1:9" x14ac:dyDescent="0.25">
      <c r="A440" s="33">
        <v>16594.561601611378</v>
      </c>
      <c r="B440">
        <f t="shared" si="24"/>
        <v>300000</v>
      </c>
      <c r="C440" s="13">
        <f t="shared" si="25"/>
        <v>550000</v>
      </c>
      <c r="G440" s="33">
        <v>7594.5616016113772</v>
      </c>
      <c r="H440" s="13">
        <f t="shared" si="26"/>
        <v>300000</v>
      </c>
      <c r="I440" s="13">
        <f t="shared" si="27"/>
        <v>31619.312112796353</v>
      </c>
    </row>
    <row r="441" spans="1:9" x14ac:dyDescent="0.25">
      <c r="A441" s="33">
        <v>16310.129093295083</v>
      </c>
      <c r="B441">
        <f t="shared" si="24"/>
        <v>300000</v>
      </c>
      <c r="C441" s="13">
        <f t="shared" si="25"/>
        <v>550000</v>
      </c>
      <c r="G441" s="33">
        <v>7310.1290932950833</v>
      </c>
      <c r="H441" s="13">
        <f t="shared" si="26"/>
        <v>300000</v>
      </c>
      <c r="I441" s="13">
        <f t="shared" si="27"/>
        <v>11709.036530655809</v>
      </c>
    </row>
    <row r="442" spans="1:9" x14ac:dyDescent="0.25">
      <c r="A442" s="33">
        <v>12571.764275032807</v>
      </c>
      <c r="B442">
        <f t="shared" si="24"/>
        <v>300000</v>
      </c>
      <c r="C442" s="13">
        <f t="shared" si="25"/>
        <v>380023.49925229652</v>
      </c>
      <c r="G442" s="33">
        <v>3571.7642750328073</v>
      </c>
      <c r="H442" s="13">
        <f t="shared" si="26"/>
        <v>178588.21375164037</v>
      </c>
      <c r="I442" s="13">
        <f t="shared" si="27"/>
        <v>-249976.50074770348</v>
      </c>
    </row>
    <row r="443" spans="1:9" x14ac:dyDescent="0.25">
      <c r="A443" s="33">
        <v>12930.204168828395</v>
      </c>
      <c r="B443">
        <f t="shared" si="24"/>
        <v>300000</v>
      </c>
      <c r="C443" s="13">
        <f t="shared" si="25"/>
        <v>405114.29181798769</v>
      </c>
      <c r="G443" s="33">
        <v>3930.2041688283944</v>
      </c>
      <c r="H443" s="13">
        <f t="shared" si="26"/>
        <v>196510.20844141973</v>
      </c>
      <c r="I443" s="13">
        <f t="shared" si="27"/>
        <v>-224885.70818201237</v>
      </c>
    </row>
    <row r="444" spans="1:9" x14ac:dyDescent="0.25">
      <c r="A444" s="33">
        <v>15817.407757805109</v>
      </c>
      <c r="B444">
        <f t="shared" si="24"/>
        <v>300000</v>
      </c>
      <c r="C444" s="13">
        <f t="shared" si="25"/>
        <v>550000</v>
      </c>
      <c r="G444" s="33">
        <v>6817.4077578051092</v>
      </c>
      <c r="H444" s="13">
        <f t="shared" si="26"/>
        <v>300000</v>
      </c>
      <c r="I444" s="13">
        <f t="shared" si="27"/>
        <v>-22781.456953642366</v>
      </c>
    </row>
    <row r="445" spans="1:9" x14ac:dyDescent="0.25">
      <c r="A445" s="33">
        <v>13586.657307657093</v>
      </c>
      <c r="B445">
        <f t="shared" si="24"/>
        <v>300000</v>
      </c>
      <c r="C445" s="13">
        <f t="shared" si="25"/>
        <v>451066.01153599657</v>
      </c>
      <c r="G445" s="33">
        <v>4586.657307657094</v>
      </c>
      <c r="H445" s="13">
        <f t="shared" si="26"/>
        <v>229332.86538285471</v>
      </c>
      <c r="I445" s="13">
        <f t="shared" si="27"/>
        <v>-178933.98846400343</v>
      </c>
    </row>
    <row r="446" spans="1:9" x14ac:dyDescent="0.25">
      <c r="A446" s="33">
        <v>13533.860286263618</v>
      </c>
      <c r="B446">
        <f t="shared" si="24"/>
        <v>300000</v>
      </c>
      <c r="C446" s="13">
        <f t="shared" si="25"/>
        <v>447370.22003845323</v>
      </c>
      <c r="G446" s="33">
        <v>4533.8602862636189</v>
      </c>
      <c r="H446" s="13">
        <f t="shared" si="26"/>
        <v>226693.01431318096</v>
      </c>
      <c r="I446" s="13">
        <f t="shared" si="27"/>
        <v>-182629.77996154665</v>
      </c>
    </row>
    <row r="447" spans="1:9" x14ac:dyDescent="0.25">
      <c r="A447" s="33">
        <v>13787.774285103915</v>
      </c>
      <c r="B447">
        <f t="shared" si="24"/>
        <v>300000</v>
      </c>
      <c r="C447" s="13">
        <f t="shared" si="25"/>
        <v>465144.19995727402</v>
      </c>
      <c r="G447" s="33">
        <v>4787.7742851039156</v>
      </c>
      <c r="H447" s="13">
        <f t="shared" si="26"/>
        <v>239388.71425519578</v>
      </c>
      <c r="I447" s="13">
        <f t="shared" si="27"/>
        <v>-164855.80004272592</v>
      </c>
    </row>
    <row r="448" spans="1:9" x14ac:dyDescent="0.25">
      <c r="A448" s="33">
        <v>15656.575212866603</v>
      </c>
      <c r="B448">
        <f t="shared" si="24"/>
        <v>300000</v>
      </c>
      <c r="C448" s="13">
        <f t="shared" si="25"/>
        <v>550000</v>
      </c>
      <c r="G448" s="33">
        <v>6656.5752128666036</v>
      </c>
      <c r="H448" s="13">
        <f t="shared" si="26"/>
        <v>300000</v>
      </c>
      <c r="I448" s="13">
        <f t="shared" si="27"/>
        <v>-34039.735099337762</v>
      </c>
    </row>
    <row r="449" spans="1:9" x14ac:dyDescent="0.25">
      <c r="A449" s="33">
        <v>15906.369212927641</v>
      </c>
      <c r="B449">
        <f t="shared" si="24"/>
        <v>300000</v>
      </c>
      <c r="C449" s="13">
        <f t="shared" si="25"/>
        <v>550000</v>
      </c>
      <c r="G449" s="33">
        <v>6906.3692129276405</v>
      </c>
      <c r="H449" s="13">
        <f t="shared" si="26"/>
        <v>300000</v>
      </c>
      <c r="I449" s="13">
        <f t="shared" si="27"/>
        <v>-16554.155095065187</v>
      </c>
    </row>
    <row r="450" spans="1:9" x14ac:dyDescent="0.25">
      <c r="A450" s="33">
        <v>13846.06463820307</v>
      </c>
      <c r="B450">
        <f t="shared" si="24"/>
        <v>300000</v>
      </c>
      <c r="C450" s="13">
        <f t="shared" si="25"/>
        <v>469224.52467421489</v>
      </c>
      <c r="G450" s="33">
        <v>4846.06463820307</v>
      </c>
      <c r="H450" s="13">
        <f t="shared" si="26"/>
        <v>242303.2319101535</v>
      </c>
      <c r="I450" s="13">
        <f t="shared" si="27"/>
        <v>-160775.47532578511</v>
      </c>
    </row>
    <row r="451" spans="1:9" x14ac:dyDescent="0.25">
      <c r="A451" s="33">
        <v>12687.734611041597</v>
      </c>
      <c r="B451">
        <f t="shared" si="24"/>
        <v>300000</v>
      </c>
      <c r="C451" s="13">
        <f t="shared" si="25"/>
        <v>388141.42277291173</v>
      </c>
      <c r="G451" s="33">
        <v>3687.7346110415965</v>
      </c>
      <c r="H451" s="13">
        <f t="shared" si="26"/>
        <v>184386.73055207983</v>
      </c>
      <c r="I451" s="13">
        <f t="shared" si="27"/>
        <v>-241858.57722708824</v>
      </c>
    </row>
    <row r="452" spans="1:9" x14ac:dyDescent="0.25">
      <c r="A452" s="33">
        <v>14496.56666768395</v>
      </c>
      <c r="B452">
        <f t="shared" si="24"/>
        <v>300000</v>
      </c>
      <c r="C452" s="13">
        <f t="shared" si="25"/>
        <v>514759.66673787648</v>
      </c>
      <c r="G452" s="33">
        <v>5496.5666676839501</v>
      </c>
      <c r="H452" s="13">
        <f t="shared" si="26"/>
        <v>274828.3333841975</v>
      </c>
      <c r="I452" s="13">
        <f t="shared" si="27"/>
        <v>-115240.33326212352</v>
      </c>
    </row>
    <row r="453" spans="1:9" x14ac:dyDescent="0.25">
      <c r="A453" s="33">
        <v>12620.136112552264</v>
      </c>
      <c r="B453">
        <f t="shared" si="24"/>
        <v>300000</v>
      </c>
      <c r="C453" s="13">
        <f t="shared" si="25"/>
        <v>383409.5278786585</v>
      </c>
      <c r="G453" s="33">
        <v>3620.1361125522631</v>
      </c>
      <c r="H453" s="13">
        <f t="shared" si="26"/>
        <v>181006.80562761315</v>
      </c>
      <c r="I453" s="13">
        <f t="shared" si="27"/>
        <v>-246590.47212134159</v>
      </c>
    </row>
    <row r="454" spans="1:9" x14ac:dyDescent="0.25">
      <c r="A454" s="33">
        <v>14442.243720816676</v>
      </c>
      <c r="B454">
        <f t="shared" si="24"/>
        <v>300000</v>
      </c>
      <c r="C454" s="13">
        <f t="shared" si="25"/>
        <v>510957.06045716733</v>
      </c>
      <c r="G454" s="33">
        <v>5442.2437208166757</v>
      </c>
      <c r="H454" s="13">
        <f t="shared" si="26"/>
        <v>272112.18604083377</v>
      </c>
      <c r="I454" s="13">
        <f t="shared" si="27"/>
        <v>-119042.93954283273</v>
      </c>
    </row>
    <row r="455" spans="1:9" x14ac:dyDescent="0.25">
      <c r="A455" s="33">
        <v>12367.595446638386</v>
      </c>
      <c r="B455">
        <f t="shared" si="24"/>
        <v>300000</v>
      </c>
      <c r="C455" s="13">
        <f t="shared" si="25"/>
        <v>365731.6812646871</v>
      </c>
      <c r="G455" s="33">
        <v>3367.5954466383864</v>
      </c>
      <c r="H455" s="13">
        <f t="shared" si="26"/>
        <v>168379.77233191932</v>
      </c>
      <c r="I455" s="13">
        <f t="shared" si="27"/>
        <v>-264268.31873531296</v>
      </c>
    </row>
    <row r="456" spans="1:9" x14ac:dyDescent="0.25">
      <c r="A456" s="33">
        <v>15006.378368480484</v>
      </c>
      <c r="B456">
        <f t="shared" si="24"/>
        <v>300000</v>
      </c>
      <c r="C456" s="13">
        <f t="shared" si="25"/>
        <v>550000</v>
      </c>
      <c r="G456" s="33">
        <v>6006.3783684804839</v>
      </c>
      <c r="H456" s="13">
        <f t="shared" si="26"/>
        <v>300000</v>
      </c>
      <c r="I456" s="13">
        <f t="shared" si="27"/>
        <v>-79553.514206366148</v>
      </c>
    </row>
    <row r="457" spans="1:9" x14ac:dyDescent="0.25">
      <c r="A457" s="33">
        <v>15577.37968077639</v>
      </c>
      <c r="B457">
        <f t="shared" si="24"/>
        <v>300000</v>
      </c>
      <c r="C457" s="13">
        <f t="shared" si="25"/>
        <v>550000</v>
      </c>
      <c r="G457" s="33">
        <v>6577.3796807763902</v>
      </c>
      <c r="H457" s="13">
        <f t="shared" si="26"/>
        <v>300000</v>
      </c>
      <c r="I457" s="13">
        <f t="shared" si="27"/>
        <v>-39583.422345652711</v>
      </c>
    </row>
    <row r="458" spans="1:9" x14ac:dyDescent="0.25">
      <c r="A458" s="33">
        <v>12706.808679464095</v>
      </c>
      <c r="B458">
        <f t="shared" si="24"/>
        <v>300000</v>
      </c>
      <c r="C458" s="13">
        <f t="shared" si="25"/>
        <v>389476.60756248666</v>
      </c>
      <c r="G458" s="33">
        <v>3706.8086794640949</v>
      </c>
      <c r="H458" s="13">
        <f t="shared" si="26"/>
        <v>185340.43397320475</v>
      </c>
      <c r="I458" s="13">
        <f t="shared" si="27"/>
        <v>-240523.39243751336</v>
      </c>
    </row>
    <row r="459" spans="1:9" x14ac:dyDescent="0.25">
      <c r="A459" s="33">
        <v>14378.307443464462</v>
      </c>
      <c r="B459">
        <f t="shared" ref="B459:B522" si="28">MIN(A459,6000)*50</f>
        <v>300000</v>
      </c>
      <c r="C459" s="13">
        <f t="shared" ref="C459:C522" si="29">MIN(A459,$C$3)*$C$6-500000</f>
        <v>506481.52104251238</v>
      </c>
      <c r="G459" s="33">
        <v>5378.3074434644614</v>
      </c>
      <c r="H459" s="13">
        <f t="shared" ref="H459:H522" si="30">MIN(G459,6000)*50</f>
        <v>268915.37217322306</v>
      </c>
      <c r="I459" s="13">
        <f t="shared" ref="I459:I522" si="31">MIN(G459,15000)*70-500000</f>
        <v>-123518.47895748768</v>
      </c>
    </row>
    <row r="460" spans="1:9" x14ac:dyDescent="0.25">
      <c r="A460" s="33">
        <v>13922.513504440443</v>
      </c>
      <c r="B460">
        <f t="shared" si="28"/>
        <v>300000</v>
      </c>
      <c r="C460" s="13">
        <f t="shared" si="29"/>
        <v>474575.94531083107</v>
      </c>
      <c r="G460" s="33">
        <v>4922.5135044404433</v>
      </c>
      <c r="H460" s="13">
        <f t="shared" si="30"/>
        <v>246125.67522202217</v>
      </c>
      <c r="I460" s="13">
        <f t="shared" si="31"/>
        <v>-155424.05468916899</v>
      </c>
    </row>
    <row r="461" spans="1:9" x14ac:dyDescent="0.25">
      <c r="A461" s="33">
        <v>12900.601214636677</v>
      </c>
      <c r="B461">
        <f t="shared" si="28"/>
        <v>300000</v>
      </c>
      <c r="C461" s="13">
        <f t="shared" si="29"/>
        <v>403042.08502456744</v>
      </c>
      <c r="G461" s="33">
        <v>3900.601214636677</v>
      </c>
      <c r="H461" s="13">
        <f t="shared" si="30"/>
        <v>195030.06073183386</v>
      </c>
      <c r="I461" s="13">
        <f t="shared" si="31"/>
        <v>-226957.91497543262</v>
      </c>
    </row>
    <row r="462" spans="1:9" x14ac:dyDescent="0.25">
      <c r="A462" s="33">
        <v>16774.163029877622</v>
      </c>
      <c r="B462">
        <f t="shared" si="28"/>
        <v>300000</v>
      </c>
      <c r="C462" s="13">
        <f t="shared" si="29"/>
        <v>550000</v>
      </c>
      <c r="G462" s="33">
        <v>7774.1630298776208</v>
      </c>
      <c r="H462" s="13">
        <f t="shared" si="30"/>
        <v>300000</v>
      </c>
      <c r="I462" s="13">
        <f t="shared" si="31"/>
        <v>44191.41209143342</v>
      </c>
    </row>
    <row r="463" spans="1:9" x14ac:dyDescent="0.25">
      <c r="A463" s="33">
        <v>14309.183019501328</v>
      </c>
      <c r="B463">
        <f t="shared" si="28"/>
        <v>300000</v>
      </c>
      <c r="C463" s="13">
        <f t="shared" si="29"/>
        <v>501642.81136509299</v>
      </c>
      <c r="G463" s="33">
        <v>5309.1830195013281</v>
      </c>
      <c r="H463" s="13">
        <f t="shared" si="30"/>
        <v>265459.15097506641</v>
      </c>
      <c r="I463" s="13">
        <f t="shared" si="31"/>
        <v>-128357.18863490701</v>
      </c>
    </row>
    <row r="464" spans="1:9" x14ac:dyDescent="0.25">
      <c r="A464" s="33">
        <v>16998.779259620962</v>
      </c>
      <c r="B464">
        <f t="shared" si="28"/>
        <v>300000</v>
      </c>
      <c r="C464" s="13">
        <f t="shared" si="29"/>
        <v>550000</v>
      </c>
      <c r="G464" s="33">
        <v>7998.7792596209601</v>
      </c>
      <c r="H464" s="13">
        <f t="shared" si="30"/>
        <v>300000</v>
      </c>
      <c r="I464" s="13">
        <f t="shared" si="31"/>
        <v>59914.548173467163</v>
      </c>
    </row>
    <row r="465" spans="1:9" x14ac:dyDescent="0.25">
      <c r="A465" s="33">
        <v>12262.916959135715</v>
      </c>
      <c r="B465">
        <f t="shared" si="28"/>
        <v>300000</v>
      </c>
      <c r="C465" s="13">
        <f t="shared" si="29"/>
        <v>358404.18713950005</v>
      </c>
      <c r="G465" s="33">
        <v>3262.9169591357158</v>
      </c>
      <c r="H465" s="13">
        <f t="shared" si="30"/>
        <v>163145.84795678579</v>
      </c>
      <c r="I465" s="13">
        <f t="shared" si="31"/>
        <v>-271595.81286049989</v>
      </c>
    </row>
    <row r="466" spans="1:9" x14ac:dyDescent="0.25">
      <c r="A466" s="33">
        <v>16322.946867275001</v>
      </c>
      <c r="B466">
        <f t="shared" si="28"/>
        <v>300000</v>
      </c>
      <c r="C466" s="13">
        <f t="shared" si="29"/>
        <v>550000</v>
      </c>
      <c r="G466" s="33">
        <v>7322.9468672750018</v>
      </c>
      <c r="H466" s="13">
        <f t="shared" si="30"/>
        <v>300000</v>
      </c>
      <c r="I466" s="13">
        <f t="shared" si="31"/>
        <v>12606.280709250132</v>
      </c>
    </row>
    <row r="467" spans="1:9" x14ac:dyDescent="0.25">
      <c r="A467" s="33">
        <v>12531.022064882351</v>
      </c>
      <c r="B467">
        <f t="shared" si="28"/>
        <v>300000</v>
      </c>
      <c r="C467" s="13">
        <f t="shared" si="29"/>
        <v>377171.54454176454</v>
      </c>
      <c r="G467" s="33">
        <v>3531.0220648823511</v>
      </c>
      <c r="H467" s="13">
        <f t="shared" si="30"/>
        <v>176551.10324411755</v>
      </c>
      <c r="I467" s="13">
        <f t="shared" si="31"/>
        <v>-252828.45545823543</v>
      </c>
    </row>
    <row r="468" spans="1:9" x14ac:dyDescent="0.25">
      <c r="A468" s="33">
        <v>12402.081362346264</v>
      </c>
      <c r="B468">
        <f t="shared" si="28"/>
        <v>300000</v>
      </c>
      <c r="C468" s="13">
        <f t="shared" si="29"/>
        <v>368145.69536423846</v>
      </c>
      <c r="G468" s="33">
        <v>3402.0813623462632</v>
      </c>
      <c r="H468" s="13">
        <f t="shared" si="30"/>
        <v>170104.06811731315</v>
      </c>
      <c r="I468" s="13">
        <f t="shared" si="31"/>
        <v>-261854.30463576157</v>
      </c>
    </row>
    <row r="469" spans="1:9" x14ac:dyDescent="0.25">
      <c r="A469" s="33">
        <v>13822.870571001313</v>
      </c>
      <c r="B469">
        <f t="shared" si="28"/>
        <v>300000</v>
      </c>
      <c r="C469" s="13">
        <f t="shared" si="29"/>
        <v>467600.93997009192</v>
      </c>
      <c r="G469" s="33">
        <v>4822.8705710013128</v>
      </c>
      <c r="H469" s="13">
        <f t="shared" si="30"/>
        <v>241143.52855006565</v>
      </c>
      <c r="I469" s="13">
        <f t="shared" si="31"/>
        <v>-162399.06002990808</v>
      </c>
    </row>
    <row r="470" spans="1:9" x14ac:dyDescent="0.25">
      <c r="A470" s="33">
        <v>14395.39780877102</v>
      </c>
      <c r="B470">
        <f t="shared" si="28"/>
        <v>300000</v>
      </c>
      <c r="C470" s="13">
        <f t="shared" si="29"/>
        <v>507677.8466139714</v>
      </c>
      <c r="G470" s="33">
        <v>5395.3978087710202</v>
      </c>
      <c r="H470" s="13">
        <f t="shared" si="30"/>
        <v>269769.89043855102</v>
      </c>
      <c r="I470" s="13">
        <f t="shared" si="31"/>
        <v>-122322.1533860286</v>
      </c>
    </row>
    <row r="471" spans="1:9" x14ac:dyDescent="0.25">
      <c r="A471" s="33">
        <v>16862.971892452773</v>
      </c>
      <c r="B471">
        <f t="shared" si="28"/>
        <v>300000</v>
      </c>
      <c r="C471" s="13">
        <f t="shared" si="29"/>
        <v>550000</v>
      </c>
      <c r="G471" s="33">
        <v>7862.9718924527724</v>
      </c>
      <c r="H471" s="13">
        <f t="shared" si="30"/>
        <v>300000</v>
      </c>
      <c r="I471" s="13">
        <f t="shared" si="31"/>
        <v>50408.032471694052</v>
      </c>
    </row>
    <row r="472" spans="1:9" x14ac:dyDescent="0.25">
      <c r="A472" s="33">
        <v>13339.304788354137</v>
      </c>
      <c r="B472">
        <f t="shared" si="28"/>
        <v>300000</v>
      </c>
      <c r="C472" s="13">
        <f t="shared" si="29"/>
        <v>433751.33518478961</v>
      </c>
      <c r="G472" s="33">
        <v>4339.3047883541367</v>
      </c>
      <c r="H472" s="13">
        <f t="shared" si="30"/>
        <v>216965.23941770685</v>
      </c>
      <c r="I472" s="13">
        <f t="shared" si="31"/>
        <v>-196248.66481521045</v>
      </c>
    </row>
    <row r="473" spans="1:9" x14ac:dyDescent="0.25">
      <c r="A473" s="33">
        <v>15474.3797112949</v>
      </c>
      <c r="B473">
        <f t="shared" si="28"/>
        <v>300000</v>
      </c>
      <c r="C473" s="13">
        <f t="shared" si="29"/>
        <v>550000</v>
      </c>
      <c r="G473" s="33">
        <v>6474.3797112949005</v>
      </c>
      <c r="H473" s="13">
        <f t="shared" si="30"/>
        <v>300000</v>
      </c>
      <c r="I473" s="13">
        <f t="shared" si="31"/>
        <v>-46793.420209356991</v>
      </c>
    </row>
    <row r="474" spans="1:9" x14ac:dyDescent="0.25">
      <c r="A474" s="33">
        <v>12273.751029999696</v>
      </c>
      <c r="B474">
        <f t="shared" si="28"/>
        <v>300000</v>
      </c>
      <c r="C474" s="13">
        <f t="shared" si="29"/>
        <v>359162.57209997869</v>
      </c>
      <c r="G474" s="33">
        <v>3273.7510299996948</v>
      </c>
      <c r="H474" s="13">
        <f t="shared" si="30"/>
        <v>163687.55149998475</v>
      </c>
      <c r="I474" s="13">
        <f t="shared" si="31"/>
        <v>-270837.42790002137</v>
      </c>
    </row>
    <row r="475" spans="1:9" x14ac:dyDescent="0.25">
      <c r="A475" s="33">
        <v>16067.964720603046</v>
      </c>
      <c r="B475">
        <f t="shared" si="28"/>
        <v>300000</v>
      </c>
      <c r="C475" s="13">
        <f t="shared" si="29"/>
        <v>550000</v>
      </c>
      <c r="G475" s="33">
        <v>7067.9647206030459</v>
      </c>
      <c r="H475" s="13">
        <f t="shared" si="30"/>
        <v>300000</v>
      </c>
      <c r="I475" s="13">
        <f t="shared" si="31"/>
        <v>-5242.4695577867678</v>
      </c>
    </row>
    <row r="476" spans="1:9" x14ac:dyDescent="0.25">
      <c r="A476" s="33">
        <v>13189.76409192175</v>
      </c>
      <c r="B476">
        <f t="shared" si="28"/>
        <v>300000</v>
      </c>
      <c r="C476" s="13">
        <f t="shared" si="29"/>
        <v>423283.48643452255</v>
      </c>
      <c r="G476" s="33">
        <v>4189.7640919217502</v>
      </c>
      <c r="H476" s="13">
        <f t="shared" si="30"/>
        <v>209488.20459608751</v>
      </c>
      <c r="I476" s="13">
        <f t="shared" si="31"/>
        <v>-206716.51356547751</v>
      </c>
    </row>
    <row r="477" spans="1:9" x14ac:dyDescent="0.25">
      <c r="A477" s="33">
        <v>15566.545609912413</v>
      </c>
      <c r="B477">
        <f t="shared" si="28"/>
        <v>300000</v>
      </c>
      <c r="C477" s="13">
        <f t="shared" si="29"/>
        <v>550000</v>
      </c>
      <c r="G477" s="33">
        <v>6566.5456099124121</v>
      </c>
      <c r="H477" s="13">
        <f t="shared" si="30"/>
        <v>300000</v>
      </c>
      <c r="I477" s="13">
        <f t="shared" si="31"/>
        <v>-40341.807306131173</v>
      </c>
    </row>
    <row r="478" spans="1:9" x14ac:dyDescent="0.25">
      <c r="A478" s="33">
        <v>16943.998535111547</v>
      </c>
      <c r="B478">
        <f t="shared" si="28"/>
        <v>300000</v>
      </c>
      <c r="C478" s="13">
        <f t="shared" si="29"/>
        <v>550000</v>
      </c>
      <c r="G478" s="33">
        <v>7943.9985351115447</v>
      </c>
      <c r="H478" s="13">
        <f t="shared" si="30"/>
        <v>300000</v>
      </c>
      <c r="I478" s="13">
        <f t="shared" si="31"/>
        <v>56079.89745780814</v>
      </c>
    </row>
    <row r="479" spans="1:9" x14ac:dyDescent="0.25">
      <c r="A479" s="33">
        <v>15587.75597399823</v>
      </c>
      <c r="B479">
        <f t="shared" si="28"/>
        <v>300000</v>
      </c>
      <c r="C479" s="13">
        <f t="shared" si="29"/>
        <v>550000</v>
      </c>
      <c r="G479" s="33">
        <v>6587.7559739982298</v>
      </c>
      <c r="H479" s="13">
        <f t="shared" si="30"/>
        <v>300000</v>
      </c>
      <c r="I479" s="13">
        <f t="shared" si="31"/>
        <v>-38857.081820123887</v>
      </c>
    </row>
    <row r="480" spans="1:9" x14ac:dyDescent="0.25">
      <c r="A480" s="33">
        <v>13933.042390209663</v>
      </c>
      <c r="B480">
        <f t="shared" si="28"/>
        <v>300000</v>
      </c>
      <c r="C480" s="13">
        <f t="shared" si="29"/>
        <v>475312.96731467638</v>
      </c>
      <c r="G480" s="33">
        <v>4933.0423902096627</v>
      </c>
      <c r="H480" s="13">
        <f t="shared" si="30"/>
        <v>246652.11951048314</v>
      </c>
      <c r="I480" s="13">
        <f t="shared" si="31"/>
        <v>-154687.03268532362</v>
      </c>
    </row>
    <row r="481" spans="1:9" x14ac:dyDescent="0.25">
      <c r="A481" s="33">
        <v>15751.335184789576</v>
      </c>
      <c r="B481">
        <f t="shared" si="28"/>
        <v>300000</v>
      </c>
      <c r="C481" s="13">
        <f t="shared" si="29"/>
        <v>550000</v>
      </c>
      <c r="G481" s="33">
        <v>6751.3351847895747</v>
      </c>
      <c r="H481" s="13">
        <f t="shared" si="30"/>
        <v>300000</v>
      </c>
      <c r="I481" s="13">
        <f t="shared" si="31"/>
        <v>-27406.537064729782</v>
      </c>
    </row>
    <row r="482" spans="1:9" x14ac:dyDescent="0.25">
      <c r="A482" s="33">
        <v>13178.472243415632</v>
      </c>
      <c r="B482">
        <f t="shared" si="28"/>
        <v>300000</v>
      </c>
      <c r="C482" s="13">
        <f t="shared" si="29"/>
        <v>422493.05703909427</v>
      </c>
      <c r="G482" s="33">
        <v>4178.472243415632</v>
      </c>
      <c r="H482" s="13">
        <f t="shared" si="30"/>
        <v>208923.61217078159</v>
      </c>
      <c r="I482" s="13">
        <f t="shared" si="31"/>
        <v>-207506.94296090578</v>
      </c>
    </row>
    <row r="483" spans="1:9" x14ac:dyDescent="0.25">
      <c r="A483" s="33">
        <v>14416.760765404219</v>
      </c>
      <c r="B483">
        <f t="shared" si="28"/>
        <v>300000</v>
      </c>
      <c r="C483" s="13">
        <f t="shared" si="29"/>
        <v>509173.25357829535</v>
      </c>
      <c r="G483" s="33">
        <v>5416.7607654042176</v>
      </c>
      <c r="H483" s="13">
        <f t="shared" si="30"/>
        <v>270838.03827021091</v>
      </c>
      <c r="I483" s="13">
        <f t="shared" si="31"/>
        <v>-120826.74642170477</v>
      </c>
    </row>
    <row r="484" spans="1:9" x14ac:dyDescent="0.25">
      <c r="A484" s="33">
        <v>16146.39728995636</v>
      </c>
      <c r="B484">
        <f t="shared" si="28"/>
        <v>300000</v>
      </c>
      <c r="C484" s="13">
        <f t="shared" si="29"/>
        <v>550000</v>
      </c>
      <c r="G484" s="33">
        <v>7146.3972899563587</v>
      </c>
      <c r="H484" s="13">
        <f t="shared" si="30"/>
        <v>300000</v>
      </c>
      <c r="I484" s="13">
        <f t="shared" si="31"/>
        <v>247.81029694509925</v>
      </c>
    </row>
    <row r="485" spans="1:9" x14ac:dyDescent="0.25">
      <c r="A485" s="33">
        <v>14114.322336497085</v>
      </c>
      <c r="B485">
        <f t="shared" si="28"/>
        <v>300000</v>
      </c>
      <c r="C485" s="13">
        <f t="shared" si="29"/>
        <v>488002.56355479592</v>
      </c>
      <c r="G485" s="33">
        <v>5114.3223364970854</v>
      </c>
      <c r="H485" s="13">
        <f t="shared" si="30"/>
        <v>255716.11682485428</v>
      </c>
      <c r="I485" s="13">
        <f t="shared" si="31"/>
        <v>-141997.43644520402</v>
      </c>
    </row>
    <row r="486" spans="1:9" x14ac:dyDescent="0.25">
      <c r="A486" s="33">
        <v>14770.775475325785</v>
      </c>
      <c r="B486">
        <f t="shared" si="28"/>
        <v>300000</v>
      </c>
      <c r="C486" s="13">
        <f t="shared" si="29"/>
        <v>533954.28327280493</v>
      </c>
      <c r="G486" s="33">
        <v>5770.775475325785</v>
      </c>
      <c r="H486" s="13">
        <f t="shared" si="30"/>
        <v>288538.77376628923</v>
      </c>
      <c r="I486" s="13">
        <f t="shared" si="31"/>
        <v>-96045.716727195075</v>
      </c>
    </row>
    <row r="487" spans="1:9" x14ac:dyDescent="0.25">
      <c r="A487" s="33">
        <v>14527.390362254708</v>
      </c>
      <c r="B487">
        <f t="shared" si="28"/>
        <v>300000</v>
      </c>
      <c r="C487" s="13">
        <f t="shared" si="29"/>
        <v>516917.32535782957</v>
      </c>
      <c r="G487" s="33">
        <v>5527.3903622547077</v>
      </c>
      <c r="H487" s="13">
        <f t="shared" si="30"/>
        <v>276369.51811273536</v>
      </c>
      <c r="I487" s="13">
        <f t="shared" si="31"/>
        <v>-113082.67464217043</v>
      </c>
    </row>
    <row r="488" spans="1:9" x14ac:dyDescent="0.25">
      <c r="A488" s="33">
        <v>16356.212042603838</v>
      </c>
      <c r="B488">
        <f t="shared" si="28"/>
        <v>300000</v>
      </c>
      <c r="C488" s="13">
        <f t="shared" si="29"/>
        <v>550000</v>
      </c>
      <c r="G488" s="33">
        <v>7356.2120426038391</v>
      </c>
      <c r="H488" s="13">
        <f t="shared" si="30"/>
        <v>300000</v>
      </c>
      <c r="I488" s="13">
        <f t="shared" si="31"/>
        <v>14934.842982268718</v>
      </c>
    </row>
    <row r="489" spans="1:9" x14ac:dyDescent="0.25">
      <c r="A489" s="33">
        <v>16244.05652027955</v>
      </c>
      <c r="B489">
        <f t="shared" si="28"/>
        <v>300000</v>
      </c>
      <c r="C489" s="13">
        <f t="shared" si="29"/>
        <v>550000</v>
      </c>
      <c r="G489" s="33">
        <v>7244.0565202795497</v>
      </c>
      <c r="H489" s="13">
        <f t="shared" si="30"/>
        <v>300000</v>
      </c>
      <c r="I489" s="13">
        <f t="shared" si="31"/>
        <v>7083.9564195684507</v>
      </c>
    </row>
    <row r="490" spans="1:9" x14ac:dyDescent="0.25">
      <c r="A490" s="33">
        <v>16949.797051911984</v>
      </c>
      <c r="B490">
        <f t="shared" si="28"/>
        <v>300000</v>
      </c>
      <c r="C490" s="13">
        <f t="shared" si="29"/>
        <v>550000</v>
      </c>
      <c r="G490" s="33">
        <v>7949.7970519119845</v>
      </c>
      <c r="H490" s="13">
        <f t="shared" si="30"/>
        <v>300000</v>
      </c>
      <c r="I490" s="13">
        <f t="shared" si="31"/>
        <v>56485.793633838883</v>
      </c>
    </row>
    <row r="491" spans="1:9" x14ac:dyDescent="0.25">
      <c r="A491" s="33">
        <v>16749.443037202065</v>
      </c>
      <c r="B491">
        <f t="shared" si="28"/>
        <v>300000</v>
      </c>
      <c r="C491" s="13">
        <f t="shared" si="29"/>
        <v>550000</v>
      </c>
      <c r="G491" s="33">
        <v>7749.4430372020634</v>
      </c>
      <c r="H491" s="13">
        <f t="shared" si="30"/>
        <v>300000</v>
      </c>
      <c r="I491" s="13">
        <f t="shared" si="31"/>
        <v>42461.012604144402</v>
      </c>
    </row>
    <row r="492" spans="1:9" x14ac:dyDescent="0.25">
      <c r="A492" s="33">
        <v>15025.147251808223</v>
      </c>
      <c r="B492">
        <f t="shared" si="28"/>
        <v>300000</v>
      </c>
      <c r="C492" s="13">
        <f t="shared" si="29"/>
        <v>550000</v>
      </c>
      <c r="G492" s="33">
        <v>6025.1472518082219</v>
      </c>
      <c r="H492" s="13">
        <f t="shared" si="30"/>
        <v>300000</v>
      </c>
      <c r="I492" s="13">
        <f t="shared" si="31"/>
        <v>-78239.692373424477</v>
      </c>
    </row>
    <row r="493" spans="1:9" x14ac:dyDescent="0.25">
      <c r="A493" s="33">
        <v>14397.99188207648</v>
      </c>
      <c r="B493">
        <f t="shared" si="28"/>
        <v>300000</v>
      </c>
      <c r="C493" s="13">
        <f t="shared" si="29"/>
        <v>507859.43174535362</v>
      </c>
      <c r="G493" s="33">
        <v>5397.9918820764797</v>
      </c>
      <c r="H493" s="13">
        <f t="shared" si="30"/>
        <v>269899.594103824</v>
      </c>
      <c r="I493" s="13">
        <f t="shared" si="31"/>
        <v>-122140.56825464644</v>
      </c>
    </row>
    <row r="494" spans="1:9" x14ac:dyDescent="0.25">
      <c r="A494" s="33">
        <v>14507.553331095309</v>
      </c>
      <c r="B494">
        <f t="shared" si="28"/>
        <v>300000</v>
      </c>
      <c r="C494" s="13">
        <f t="shared" si="29"/>
        <v>515528.73317667167</v>
      </c>
      <c r="G494" s="33">
        <v>5507.5533310953087</v>
      </c>
      <c r="H494" s="13">
        <f t="shared" si="30"/>
        <v>275377.66655476543</v>
      </c>
      <c r="I494" s="13">
        <f t="shared" si="31"/>
        <v>-114471.26682332839</v>
      </c>
    </row>
    <row r="495" spans="1:9" x14ac:dyDescent="0.25">
      <c r="A495" s="33">
        <v>14510.757774590289</v>
      </c>
      <c r="B495">
        <f t="shared" si="28"/>
        <v>300000</v>
      </c>
      <c r="C495" s="13">
        <f t="shared" si="29"/>
        <v>515753.04422132019</v>
      </c>
      <c r="G495" s="33">
        <v>5510.757774590289</v>
      </c>
      <c r="H495" s="13">
        <f t="shared" si="30"/>
        <v>275537.88872951444</v>
      </c>
      <c r="I495" s="13">
        <f t="shared" si="31"/>
        <v>-114246.95577867975</v>
      </c>
    </row>
    <row r="496" spans="1:9" x14ac:dyDescent="0.25">
      <c r="A496" s="33">
        <v>15953.978087710197</v>
      </c>
      <c r="B496">
        <f t="shared" si="28"/>
        <v>300000</v>
      </c>
      <c r="C496" s="13">
        <f t="shared" si="29"/>
        <v>550000</v>
      </c>
      <c r="G496" s="33">
        <v>6953.9780877101966</v>
      </c>
      <c r="H496" s="13">
        <f t="shared" si="30"/>
        <v>300000</v>
      </c>
      <c r="I496" s="13">
        <f t="shared" si="31"/>
        <v>-13221.533860286232</v>
      </c>
    </row>
    <row r="497" spans="1:9" x14ac:dyDescent="0.25">
      <c r="A497" s="33">
        <v>12420.087282937102</v>
      </c>
      <c r="B497">
        <f t="shared" si="28"/>
        <v>300000</v>
      </c>
      <c r="C497" s="13">
        <f t="shared" si="29"/>
        <v>369406.10980559711</v>
      </c>
      <c r="G497" s="33">
        <v>3420.0872829371015</v>
      </c>
      <c r="H497" s="13">
        <f t="shared" si="30"/>
        <v>171004.36414685508</v>
      </c>
      <c r="I497" s="13">
        <f t="shared" si="31"/>
        <v>-260593.89019440289</v>
      </c>
    </row>
    <row r="498" spans="1:9" x14ac:dyDescent="0.25">
      <c r="A498" s="33">
        <v>12672.627948850979</v>
      </c>
      <c r="B498">
        <f t="shared" si="28"/>
        <v>300000</v>
      </c>
      <c r="C498" s="13">
        <f t="shared" si="29"/>
        <v>387083.95641956851</v>
      </c>
      <c r="G498" s="33">
        <v>3672.6279488509781</v>
      </c>
      <c r="H498" s="13">
        <f t="shared" si="30"/>
        <v>183631.39744254891</v>
      </c>
      <c r="I498" s="13">
        <f t="shared" si="31"/>
        <v>-242916.04358043152</v>
      </c>
    </row>
    <row r="499" spans="1:9" x14ac:dyDescent="0.25">
      <c r="A499" s="33">
        <v>14345.805230872524</v>
      </c>
      <c r="B499">
        <f t="shared" si="28"/>
        <v>300000</v>
      </c>
      <c r="C499" s="13">
        <f t="shared" si="29"/>
        <v>504206.3661610767</v>
      </c>
      <c r="G499" s="33">
        <v>5345.8052308725237</v>
      </c>
      <c r="H499" s="13">
        <f t="shared" si="30"/>
        <v>267290.2615436262</v>
      </c>
      <c r="I499" s="13">
        <f t="shared" si="31"/>
        <v>-125793.63383892336</v>
      </c>
    </row>
    <row r="500" spans="1:9" x14ac:dyDescent="0.25">
      <c r="A500" s="33">
        <v>15381.756035035249</v>
      </c>
      <c r="B500">
        <f t="shared" si="28"/>
        <v>300000</v>
      </c>
      <c r="C500" s="13">
        <f t="shared" si="29"/>
        <v>550000</v>
      </c>
      <c r="G500" s="33">
        <v>6381.7560350352487</v>
      </c>
      <c r="H500" s="13">
        <f t="shared" si="30"/>
        <v>300000</v>
      </c>
      <c r="I500" s="13">
        <f t="shared" si="31"/>
        <v>-53277.077547532564</v>
      </c>
    </row>
    <row r="501" spans="1:9" x14ac:dyDescent="0.25">
      <c r="A501" s="33">
        <v>16566.942350535599</v>
      </c>
      <c r="B501">
        <f t="shared" si="28"/>
        <v>300000</v>
      </c>
      <c r="C501" s="13">
        <f t="shared" si="29"/>
        <v>550000</v>
      </c>
      <c r="G501" s="33">
        <v>7566.9423505355999</v>
      </c>
      <c r="H501" s="13">
        <f t="shared" si="30"/>
        <v>300000</v>
      </c>
      <c r="I501" s="13">
        <f t="shared" si="31"/>
        <v>29685.964537492022</v>
      </c>
    </row>
    <row r="502" spans="1:9" x14ac:dyDescent="0.25">
      <c r="A502" s="33">
        <v>15256.782738731041</v>
      </c>
      <c r="B502">
        <f t="shared" si="28"/>
        <v>300000</v>
      </c>
      <c r="C502" s="13">
        <f t="shared" si="29"/>
        <v>550000</v>
      </c>
      <c r="G502" s="33">
        <v>6256.7827387310408</v>
      </c>
      <c r="H502" s="13">
        <f t="shared" si="30"/>
        <v>300000</v>
      </c>
      <c r="I502" s="13">
        <f t="shared" si="31"/>
        <v>-62025.208288827154</v>
      </c>
    </row>
    <row r="503" spans="1:9" x14ac:dyDescent="0.25">
      <c r="A503" s="33">
        <v>14577.745902890103</v>
      </c>
      <c r="B503">
        <f t="shared" si="28"/>
        <v>300000</v>
      </c>
      <c r="C503" s="13">
        <f t="shared" si="29"/>
        <v>520442.21320230723</v>
      </c>
      <c r="G503" s="33">
        <v>5577.745902890103</v>
      </c>
      <c r="H503" s="13">
        <f t="shared" si="30"/>
        <v>278887.29514450516</v>
      </c>
      <c r="I503" s="13">
        <f t="shared" si="31"/>
        <v>-109557.78679769277</v>
      </c>
    </row>
    <row r="504" spans="1:9" x14ac:dyDescent="0.25">
      <c r="A504" s="33">
        <v>16563.73790704062</v>
      </c>
      <c r="B504">
        <f t="shared" si="28"/>
        <v>300000</v>
      </c>
      <c r="C504" s="13">
        <f t="shared" si="29"/>
        <v>550000</v>
      </c>
      <c r="G504" s="33">
        <v>7563.7379070406205</v>
      </c>
      <c r="H504" s="13">
        <f t="shared" si="30"/>
        <v>300000</v>
      </c>
      <c r="I504" s="13">
        <f t="shared" si="31"/>
        <v>29461.653492843383</v>
      </c>
    </row>
    <row r="505" spans="1:9" x14ac:dyDescent="0.25">
      <c r="A505" s="33">
        <v>14896.969512009033</v>
      </c>
      <c r="B505">
        <f t="shared" si="28"/>
        <v>300000</v>
      </c>
      <c r="C505" s="13">
        <f t="shared" si="29"/>
        <v>542787.86584063224</v>
      </c>
      <c r="G505" s="33">
        <v>5896.9695120090328</v>
      </c>
      <c r="H505" s="13">
        <f t="shared" si="30"/>
        <v>294848.47560045164</v>
      </c>
      <c r="I505" s="13">
        <f t="shared" si="31"/>
        <v>-87212.134159367706</v>
      </c>
    </row>
    <row r="506" spans="1:9" x14ac:dyDescent="0.25">
      <c r="A506" s="33">
        <v>12108.95107882931</v>
      </c>
      <c r="B506">
        <f t="shared" si="28"/>
        <v>300000</v>
      </c>
      <c r="C506" s="13">
        <f t="shared" si="29"/>
        <v>347626.57551805174</v>
      </c>
      <c r="G506" s="33">
        <v>3108.9510788293101</v>
      </c>
      <c r="H506" s="13">
        <f t="shared" si="30"/>
        <v>155447.55394146551</v>
      </c>
      <c r="I506" s="13">
        <f t="shared" si="31"/>
        <v>-282373.42448194826</v>
      </c>
    </row>
    <row r="507" spans="1:9" x14ac:dyDescent="0.25">
      <c r="A507" s="33">
        <v>16081.087679677725</v>
      </c>
      <c r="B507">
        <f t="shared" si="28"/>
        <v>300000</v>
      </c>
      <c r="C507" s="13">
        <f t="shared" si="29"/>
        <v>550000</v>
      </c>
      <c r="G507" s="33">
        <v>7081.0876796777247</v>
      </c>
      <c r="H507" s="13">
        <f t="shared" si="30"/>
        <v>300000</v>
      </c>
      <c r="I507" s="13">
        <f t="shared" si="31"/>
        <v>-4323.8624225592939</v>
      </c>
    </row>
    <row r="508" spans="1:9" x14ac:dyDescent="0.25">
      <c r="A508" s="33">
        <v>13109.500411999878</v>
      </c>
      <c r="B508">
        <f t="shared" si="28"/>
        <v>300000</v>
      </c>
      <c r="C508" s="13">
        <f t="shared" si="29"/>
        <v>417665.02883999143</v>
      </c>
      <c r="G508" s="33">
        <v>4109.5004119998775</v>
      </c>
      <c r="H508" s="13">
        <f t="shared" si="30"/>
        <v>205475.02059999388</v>
      </c>
      <c r="I508" s="13">
        <f t="shared" si="31"/>
        <v>-212334.97116000857</v>
      </c>
    </row>
    <row r="509" spans="1:9" x14ac:dyDescent="0.25">
      <c r="A509" s="33">
        <v>15382.824182866909</v>
      </c>
      <c r="B509">
        <f t="shared" si="28"/>
        <v>300000</v>
      </c>
      <c r="C509" s="13">
        <f t="shared" si="29"/>
        <v>550000</v>
      </c>
      <c r="G509" s="33">
        <v>6382.8241828669088</v>
      </c>
      <c r="H509" s="13">
        <f t="shared" si="30"/>
        <v>300000</v>
      </c>
      <c r="I509" s="13">
        <f t="shared" si="31"/>
        <v>-53202.30719931639</v>
      </c>
    </row>
    <row r="510" spans="1:9" x14ac:dyDescent="0.25">
      <c r="A510" s="33">
        <v>15408.612323374127</v>
      </c>
      <c r="B510">
        <f t="shared" si="28"/>
        <v>300000</v>
      </c>
      <c r="C510" s="13">
        <f t="shared" si="29"/>
        <v>550000</v>
      </c>
      <c r="G510" s="33">
        <v>6408.6123233741273</v>
      </c>
      <c r="H510" s="13">
        <f t="shared" si="30"/>
        <v>300000</v>
      </c>
      <c r="I510" s="13">
        <f t="shared" si="31"/>
        <v>-51397.137363811082</v>
      </c>
    </row>
    <row r="511" spans="1:9" x14ac:dyDescent="0.25">
      <c r="A511" s="33">
        <v>16530.167546617024</v>
      </c>
      <c r="B511">
        <f t="shared" si="28"/>
        <v>300000</v>
      </c>
      <c r="C511" s="13">
        <f t="shared" si="29"/>
        <v>550000</v>
      </c>
      <c r="G511" s="33">
        <v>7530.1675466170236</v>
      </c>
      <c r="H511" s="13">
        <f t="shared" si="30"/>
        <v>300000</v>
      </c>
      <c r="I511" s="13">
        <f t="shared" si="31"/>
        <v>27111.728263191646</v>
      </c>
    </row>
    <row r="512" spans="1:9" x14ac:dyDescent="0.25">
      <c r="A512" s="33">
        <v>16862.208929715875</v>
      </c>
      <c r="B512">
        <f t="shared" si="28"/>
        <v>300000</v>
      </c>
      <c r="C512" s="13">
        <f t="shared" si="29"/>
        <v>550000</v>
      </c>
      <c r="G512" s="33">
        <v>7862.2089297158727</v>
      </c>
      <c r="H512" s="13">
        <f t="shared" si="30"/>
        <v>300000</v>
      </c>
      <c r="I512" s="13">
        <f t="shared" si="31"/>
        <v>50354.625080111087</v>
      </c>
    </row>
    <row r="513" spans="1:9" x14ac:dyDescent="0.25">
      <c r="A513" s="33">
        <v>15398.388622699667</v>
      </c>
      <c r="B513">
        <f t="shared" si="28"/>
        <v>300000</v>
      </c>
      <c r="C513" s="13">
        <f t="shared" si="29"/>
        <v>550000</v>
      </c>
      <c r="G513" s="33">
        <v>6398.3886226996674</v>
      </c>
      <c r="H513" s="13">
        <f t="shared" si="30"/>
        <v>300000</v>
      </c>
      <c r="I513" s="13">
        <f t="shared" si="31"/>
        <v>-52112.796411023301</v>
      </c>
    </row>
    <row r="514" spans="1:9" x14ac:dyDescent="0.25">
      <c r="A514" s="33">
        <v>16825.434125797296</v>
      </c>
      <c r="B514">
        <f t="shared" si="28"/>
        <v>300000</v>
      </c>
      <c r="C514" s="13">
        <f t="shared" si="29"/>
        <v>550000</v>
      </c>
      <c r="G514" s="33">
        <v>7825.4341257972965</v>
      </c>
      <c r="H514" s="13">
        <f t="shared" si="30"/>
        <v>300000</v>
      </c>
      <c r="I514" s="13">
        <f t="shared" si="31"/>
        <v>47780.388805810711</v>
      </c>
    </row>
    <row r="515" spans="1:9" x14ac:dyDescent="0.25">
      <c r="A515" s="33">
        <v>12039.979247413556</v>
      </c>
      <c r="B515">
        <f t="shared" si="28"/>
        <v>300000</v>
      </c>
      <c r="C515" s="13">
        <f t="shared" si="29"/>
        <v>342798.5473189489</v>
      </c>
      <c r="G515" s="33">
        <v>3039.9792474135565</v>
      </c>
      <c r="H515" s="13">
        <f t="shared" si="30"/>
        <v>151998.96237067782</v>
      </c>
      <c r="I515" s="13">
        <f t="shared" si="31"/>
        <v>-287201.45268105104</v>
      </c>
    </row>
    <row r="516" spans="1:9" x14ac:dyDescent="0.25">
      <c r="A516" s="33">
        <v>13599.169896542253</v>
      </c>
      <c r="B516">
        <f t="shared" si="28"/>
        <v>300000</v>
      </c>
      <c r="C516" s="13">
        <f t="shared" si="29"/>
        <v>451941.89275795768</v>
      </c>
      <c r="G516" s="33">
        <v>4599.1698965422529</v>
      </c>
      <c r="H516" s="13">
        <f t="shared" si="30"/>
        <v>229958.49482711265</v>
      </c>
      <c r="I516" s="13">
        <f t="shared" si="31"/>
        <v>-178058.10724204232</v>
      </c>
    </row>
    <row r="517" spans="1:9" x14ac:dyDescent="0.25">
      <c r="A517" s="33">
        <v>12739.616077150791</v>
      </c>
      <c r="B517">
        <f t="shared" si="28"/>
        <v>300000</v>
      </c>
      <c r="C517" s="13">
        <f t="shared" si="29"/>
        <v>391773.12540055544</v>
      </c>
      <c r="G517" s="33">
        <v>3739.6160771507921</v>
      </c>
      <c r="H517" s="13">
        <f t="shared" si="30"/>
        <v>186980.80385753961</v>
      </c>
      <c r="I517" s="13">
        <f t="shared" si="31"/>
        <v>-238226.87459944456</v>
      </c>
    </row>
    <row r="518" spans="1:9" x14ac:dyDescent="0.25">
      <c r="A518" s="33">
        <v>15082.369457075716</v>
      </c>
      <c r="B518">
        <f t="shared" si="28"/>
        <v>300000</v>
      </c>
      <c r="C518" s="13">
        <f t="shared" si="29"/>
        <v>550000</v>
      </c>
      <c r="G518" s="33">
        <v>6082.3694570757161</v>
      </c>
      <c r="H518" s="13">
        <f t="shared" si="30"/>
        <v>300000</v>
      </c>
      <c r="I518" s="13">
        <f t="shared" si="31"/>
        <v>-74234.138004699897</v>
      </c>
    </row>
    <row r="519" spans="1:9" x14ac:dyDescent="0.25">
      <c r="A519" s="33">
        <v>12607.318338572344</v>
      </c>
      <c r="B519">
        <f t="shared" si="28"/>
        <v>300000</v>
      </c>
      <c r="C519" s="13">
        <f t="shared" si="29"/>
        <v>382512.28370006406</v>
      </c>
      <c r="G519" s="33">
        <v>3607.3183385723441</v>
      </c>
      <c r="H519" s="13">
        <f t="shared" si="30"/>
        <v>180365.9169286172</v>
      </c>
      <c r="I519" s="13">
        <f t="shared" si="31"/>
        <v>-247487.71629993591</v>
      </c>
    </row>
    <row r="520" spans="1:9" x14ac:dyDescent="0.25">
      <c r="A520" s="33">
        <v>12337.992492446669</v>
      </c>
      <c r="B520">
        <f t="shared" si="28"/>
        <v>300000</v>
      </c>
      <c r="C520" s="13">
        <f t="shared" si="29"/>
        <v>363659.47447126685</v>
      </c>
      <c r="G520" s="33">
        <v>3337.9924924466686</v>
      </c>
      <c r="H520" s="13">
        <f t="shared" si="30"/>
        <v>166899.62462233345</v>
      </c>
      <c r="I520" s="13">
        <f t="shared" si="31"/>
        <v>-266340.52552873321</v>
      </c>
    </row>
    <row r="521" spans="1:9" x14ac:dyDescent="0.25">
      <c r="A521" s="33">
        <v>15836.634418774987</v>
      </c>
      <c r="B521">
        <f t="shared" si="28"/>
        <v>300000</v>
      </c>
      <c r="C521" s="13">
        <f t="shared" si="29"/>
        <v>550000</v>
      </c>
      <c r="G521" s="33">
        <v>6836.6344187749874</v>
      </c>
      <c r="H521" s="13">
        <f t="shared" si="30"/>
        <v>300000</v>
      </c>
      <c r="I521" s="13">
        <f t="shared" si="31"/>
        <v>-21435.590685750882</v>
      </c>
    </row>
    <row r="522" spans="1:9" x14ac:dyDescent="0.25">
      <c r="A522" s="33">
        <v>15948.179570909757</v>
      </c>
      <c r="B522">
        <f t="shared" si="28"/>
        <v>300000</v>
      </c>
      <c r="C522" s="13">
        <f t="shared" si="29"/>
        <v>550000</v>
      </c>
      <c r="G522" s="33">
        <v>6948.1795709097569</v>
      </c>
      <c r="H522" s="13">
        <f t="shared" si="30"/>
        <v>300000</v>
      </c>
      <c r="I522" s="13">
        <f t="shared" si="31"/>
        <v>-13627.430036317033</v>
      </c>
    </row>
    <row r="523" spans="1:9" x14ac:dyDescent="0.25">
      <c r="A523" s="33">
        <v>15254.493850520341</v>
      </c>
      <c r="B523">
        <f t="shared" ref="B523:B586" si="32">MIN(A523,6000)*50</f>
        <v>300000</v>
      </c>
      <c r="C523" s="13">
        <f t="shared" ref="C523:C586" si="33">MIN(A523,$C$3)*$C$6-500000</f>
        <v>550000</v>
      </c>
      <c r="G523" s="33">
        <v>6254.4938505203409</v>
      </c>
      <c r="H523" s="13">
        <f t="shared" ref="H523:H586" si="34">MIN(G523,6000)*50</f>
        <v>300000</v>
      </c>
      <c r="I523" s="13">
        <f t="shared" ref="I523:I586" si="35">MIN(G523,15000)*70-500000</f>
        <v>-62185.430463576165</v>
      </c>
    </row>
    <row r="524" spans="1:9" x14ac:dyDescent="0.25">
      <c r="A524" s="33">
        <v>16524.674214911345</v>
      </c>
      <c r="B524">
        <f t="shared" si="32"/>
        <v>300000</v>
      </c>
      <c r="C524" s="13">
        <f t="shared" si="33"/>
        <v>550000</v>
      </c>
      <c r="G524" s="33">
        <v>7524.6742149113443</v>
      </c>
      <c r="H524" s="13">
        <f t="shared" si="34"/>
        <v>300000</v>
      </c>
      <c r="I524" s="13">
        <f t="shared" si="35"/>
        <v>26727.195043794112</v>
      </c>
    </row>
    <row r="525" spans="1:9" x14ac:dyDescent="0.25">
      <c r="A525" s="33">
        <v>13307.71813104648</v>
      </c>
      <c r="B525">
        <f t="shared" si="32"/>
        <v>300000</v>
      </c>
      <c r="C525" s="13">
        <f t="shared" si="33"/>
        <v>431540.26917325356</v>
      </c>
      <c r="G525" s="33">
        <v>4307.7181310464803</v>
      </c>
      <c r="H525" s="13">
        <f t="shared" si="34"/>
        <v>215385.90655232401</v>
      </c>
      <c r="I525" s="13">
        <f t="shared" si="35"/>
        <v>-198459.73082674638</v>
      </c>
    </row>
    <row r="526" spans="1:9" x14ac:dyDescent="0.25">
      <c r="A526" s="33">
        <v>14193.365276039918</v>
      </c>
      <c r="B526">
        <f t="shared" si="32"/>
        <v>300000</v>
      </c>
      <c r="C526" s="13">
        <f t="shared" si="33"/>
        <v>493535.56932279433</v>
      </c>
      <c r="G526" s="33">
        <v>5193.3652760399182</v>
      </c>
      <c r="H526" s="13">
        <f t="shared" si="34"/>
        <v>259668.2638019959</v>
      </c>
      <c r="I526" s="13">
        <f t="shared" si="35"/>
        <v>-136464.43067720573</v>
      </c>
    </row>
    <row r="527" spans="1:9" x14ac:dyDescent="0.25">
      <c r="A527" s="33">
        <v>16287.087618640704</v>
      </c>
      <c r="B527">
        <f t="shared" si="32"/>
        <v>300000</v>
      </c>
      <c r="C527" s="13">
        <f t="shared" si="33"/>
        <v>550000</v>
      </c>
      <c r="G527" s="33">
        <v>7287.0876186407049</v>
      </c>
      <c r="H527" s="13">
        <f t="shared" si="34"/>
        <v>300000</v>
      </c>
      <c r="I527" s="13">
        <f t="shared" si="35"/>
        <v>10096.133304849325</v>
      </c>
    </row>
    <row r="528" spans="1:9" x14ac:dyDescent="0.25">
      <c r="A528" s="33">
        <v>12890.072328867458</v>
      </c>
      <c r="B528">
        <f t="shared" si="32"/>
        <v>300000</v>
      </c>
      <c r="C528" s="13">
        <f t="shared" si="33"/>
        <v>402305.06302072201</v>
      </c>
      <c r="G528" s="33">
        <v>3890.0723288674581</v>
      </c>
      <c r="H528" s="13">
        <f t="shared" si="34"/>
        <v>194503.61644337291</v>
      </c>
      <c r="I528" s="13">
        <f t="shared" si="35"/>
        <v>-227694.93697927793</v>
      </c>
    </row>
    <row r="529" spans="1:9" x14ac:dyDescent="0.25">
      <c r="A529" s="33">
        <v>15519.699697866756</v>
      </c>
      <c r="B529">
        <f t="shared" si="32"/>
        <v>300000</v>
      </c>
      <c r="C529" s="13">
        <f t="shared" si="33"/>
        <v>550000</v>
      </c>
      <c r="G529" s="33">
        <v>6519.6996978667557</v>
      </c>
      <c r="H529" s="13">
        <f t="shared" si="34"/>
        <v>300000</v>
      </c>
      <c r="I529" s="13">
        <f t="shared" si="35"/>
        <v>-43621.021149327105</v>
      </c>
    </row>
    <row r="530" spans="1:9" x14ac:dyDescent="0.25">
      <c r="A530" s="33">
        <v>14541.276284066287</v>
      </c>
      <c r="B530">
        <f t="shared" si="32"/>
        <v>300000</v>
      </c>
      <c r="C530" s="13">
        <f t="shared" si="33"/>
        <v>517889.33988464007</v>
      </c>
      <c r="G530" s="33">
        <v>5541.2762840662863</v>
      </c>
      <c r="H530" s="13">
        <f t="shared" si="34"/>
        <v>277063.81420331431</v>
      </c>
      <c r="I530" s="13">
        <f t="shared" si="35"/>
        <v>-112110.66011535993</v>
      </c>
    </row>
    <row r="531" spans="1:9" x14ac:dyDescent="0.25">
      <c r="A531" s="33">
        <v>16567.247535630362</v>
      </c>
      <c r="B531">
        <f t="shared" si="32"/>
        <v>300000</v>
      </c>
      <c r="C531" s="13">
        <f t="shared" si="33"/>
        <v>550000</v>
      </c>
      <c r="G531" s="33">
        <v>7567.2475356303603</v>
      </c>
      <c r="H531" s="13">
        <f t="shared" si="34"/>
        <v>300000</v>
      </c>
      <c r="I531" s="13">
        <f t="shared" si="35"/>
        <v>29707.327494125231</v>
      </c>
    </row>
    <row r="532" spans="1:9" x14ac:dyDescent="0.25">
      <c r="A532" s="33">
        <v>16252.601702932829</v>
      </c>
      <c r="B532">
        <f t="shared" si="32"/>
        <v>300000</v>
      </c>
      <c r="C532" s="13">
        <f t="shared" si="33"/>
        <v>550000</v>
      </c>
      <c r="G532" s="33">
        <v>7252.6017029328286</v>
      </c>
      <c r="H532" s="13">
        <f t="shared" si="34"/>
        <v>300000</v>
      </c>
      <c r="I532" s="13">
        <f t="shared" si="35"/>
        <v>7682.1192052980186</v>
      </c>
    </row>
    <row r="533" spans="1:9" x14ac:dyDescent="0.25">
      <c r="A533" s="33">
        <v>13302.987762077701</v>
      </c>
      <c r="B533">
        <f t="shared" si="32"/>
        <v>300000</v>
      </c>
      <c r="C533" s="13">
        <f t="shared" si="33"/>
        <v>431209.14334543899</v>
      </c>
      <c r="G533" s="33">
        <v>4302.9877620776997</v>
      </c>
      <c r="H533" s="13">
        <f t="shared" si="34"/>
        <v>215149.38810388499</v>
      </c>
      <c r="I533" s="13">
        <f t="shared" si="35"/>
        <v>-198790.85665456101</v>
      </c>
    </row>
    <row r="534" spans="1:9" x14ac:dyDescent="0.25">
      <c r="A534" s="33">
        <v>16143.192846461377</v>
      </c>
      <c r="B534">
        <f t="shared" si="32"/>
        <v>300000</v>
      </c>
      <c r="C534" s="13">
        <f t="shared" si="33"/>
        <v>550000</v>
      </c>
      <c r="G534" s="33">
        <v>7143.1928464613784</v>
      </c>
      <c r="H534" s="13">
        <f t="shared" si="34"/>
        <v>300000</v>
      </c>
      <c r="I534" s="13">
        <f t="shared" si="35"/>
        <v>23.499252296460327</v>
      </c>
    </row>
    <row r="535" spans="1:9" x14ac:dyDescent="0.25">
      <c r="A535" s="33">
        <v>16211.554307687613</v>
      </c>
      <c r="B535">
        <f t="shared" si="32"/>
        <v>300000</v>
      </c>
      <c r="C535" s="13">
        <f t="shared" si="33"/>
        <v>550000</v>
      </c>
      <c r="G535" s="33">
        <v>7211.5543076876129</v>
      </c>
      <c r="H535" s="13">
        <f t="shared" si="34"/>
        <v>300000</v>
      </c>
      <c r="I535" s="13">
        <f t="shared" si="35"/>
        <v>4808.8015381328878</v>
      </c>
    </row>
    <row r="536" spans="1:9" x14ac:dyDescent="0.25">
      <c r="A536" s="33">
        <v>16049.348429822687</v>
      </c>
      <c r="B536">
        <f t="shared" si="32"/>
        <v>300000</v>
      </c>
      <c r="C536" s="13">
        <f t="shared" si="33"/>
        <v>550000</v>
      </c>
      <c r="G536" s="33">
        <v>7049.3484298226867</v>
      </c>
      <c r="H536" s="13">
        <f t="shared" si="34"/>
        <v>300000</v>
      </c>
      <c r="I536" s="13">
        <f t="shared" si="35"/>
        <v>-6545.6099124119501</v>
      </c>
    </row>
    <row r="537" spans="1:9" x14ac:dyDescent="0.25">
      <c r="A537" s="33">
        <v>16483.47422711875</v>
      </c>
      <c r="B537">
        <f t="shared" si="32"/>
        <v>300000</v>
      </c>
      <c r="C537" s="13">
        <f t="shared" si="33"/>
        <v>550000</v>
      </c>
      <c r="G537" s="33">
        <v>7483.4742271187479</v>
      </c>
      <c r="H537" s="13">
        <f t="shared" si="34"/>
        <v>300000</v>
      </c>
      <c r="I537" s="13">
        <f t="shared" si="35"/>
        <v>23843.195898312377</v>
      </c>
    </row>
    <row r="538" spans="1:9" x14ac:dyDescent="0.25">
      <c r="A538" s="33">
        <v>12610.827967162084</v>
      </c>
      <c r="B538">
        <f t="shared" si="32"/>
        <v>300000</v>
      </c>
      <c r="C538" s="13">
        <f t="shared" si="33"/>
        <v>382757.95770134591</v>
      </c>
      <c r="G538" s="33">
        <v>3610.827967162084</v>
      </c>
      <c r="H538" s="13">
        <f t="shared" si="34"/>
        <v>180541.3983581042</v>
      </c>
      <c r="I538" s="13">
        <f t="shared" si="35"/>
        <v>-247242.04229865412</v>
      </c>
    </row>
    <row r="539" spans="1:9" x14ac:dyDescent="0.25">
      <c r="A539" s="33">
        <v>12619.373149815363</v>
      </c>
      <c r="B539">
        <f t="shared" si="32"/>
        <v>300000</v>
      </c>
      <c r="C539" s="13">
        <f t="shared" si="33"/>
        <v>383356.12048707542</v>
      </c>
      <c r="G539" s="33">
        <v>3619.3731498153629</v>
      </c>
      <c r="H539" s="13">
        <f t="shared" si="34"/>
        <v>180968.65749076815</v>
      </c>
      <c r="I539" s="13">
        <f t="shared" si="35"/>
        <v>-246643.87951292458</v>
      </c>
    </row>
    <row r="540" spans="1:9" x14ac:dyDescent="0.25">
      <c r="A540" s="33">
        <v>12877.5597399823</v>
      </c>
      <c r="B540">
        <f t="shared" si="32"/>
        <v>300000</v>
      </c>
      <c r="C540" s="13">
        <f t="shared" si="33"/>
        <v>401429.18179876101</v>
      </c>
      <c r="G540" s="33">
        <v>3877.5597399822991</v>
      </c>
      <c r="H540" s="13">
        <f t="shared" si="34"/>
        <v>193877.98699911495</v>
      </c>
      <c r="I540" s="13">
        <f t="shared" si="35"/>
        <v>-228570.81820123905</v>
      </c>
    </row>
    <row r="541" spans="1:9" x14ac:dyDescent="0.25">
      <c r="A541" s="33">
        <v>12382.702108829006</v>
      </c>
      <c r="B541">
        <f t="shared" si="32"/>
        <v>300000</v>
      </c>
      <c r="C541" s="13">
        <f t="shared" si="33"/>
        <v>366789.14761803043</v>
      </c>
      <c r="G541" s="33">
        <v>3382.7021088290048</v>
      </c>
      <c r="H541" s="13">
        <f t="shared" si="34"/>
        <v>169135.10544145023</v>
      </c>
      <c r="I541" s="13">
        <f t="shared" si="35"/>
        <v>-263210.85238196969</v>
      </c>
    </row>
    <row r="542" spans="1:9" x14ac:dyDescent="0.25">
      <c r="A542" s="33">
        <v>12137.028107547227</v>
      </c>
      <c r="B542">
        <f t="shared" si="32"/>
        <v>300000</v>
      </c>
      <c r="C542" s="13">
        <f t="shared" si="33"/>
        <v>349591.96752830583</v>
      </c>
      <c r="G542" s="33">
        <v>3137.0281075472276</v>
      </c>
      <c r="H542" s="13">
        <f t="shared" si="34"/>
        <v>156851.40537736137</v>
      </c>
      <c r="I542" s="13">
        <f t="shared" si="35"/>
        <v>-280408.03247169405</v>
      </c>
    </row>
    <row r="543" spans="1:9" x14ac:dyDescent="0.25">
      <c r="A543" s="33">
        <v>13237.372966704306</v>
      </c>
      <c r="B543">
        <f t="shared" si="32"/>
        <v>300000</v>
      </c>
      <c r="C543" s="13">
        <f t="shared" si="33"/>
        <v>426616.10766930145</v>
      </c>
      <c r="G543" s="33">
        <v>4237.3729667043062</v>
      </c>
      <c r="H543" s="13">
        <f t="shared" si="34"/>
        <v>211868.64833521532</v>
      </c>
      <c r="I543" s="13">
        <f t="shared" si="35"/>
        <v>-203383.89233069855</v>
      </c>
    </row>
    <row r="544" spans="1:9" x14ac:dyDescent="0.25">
      <c r="A544" s="33">
        <v>15826.868495742669</v>
      </c>
      <c r="B544">
        <f t="shared" si="32"/>
        <v>300000</v>
      </c>
      <c r="C544" s="13">
        <f t="shared" si="33"/>
        <v>550000</v>
      </c>
      <c r="G544" s="33">
        <v>6826.8684957426685</v>
      </c>
      <c r="H544" s="13">
        <f t="shared" si="34"/>
        <v>300000</v>
      </c>
      <c r="I544" s="13">
        <f t="shared" si="35"/>
        <v>-22119.205298013228</v>
      </c>
    </row>
    <row r="545" spans="1:9" x14ac:dyDescent="0.25">
      <c r="A545" s="33">
        <v>16948.271126438183</v>
      </c>
      <c r="B545">
        <f t="shared" si="32"/>
        <v>300000</v>
      </c>
      <c r="C545" s="13">
        <f t="shared" si="33"/>
        <v>550000</v>
      </c>
      <c r="G545" s="33">
        <v>7948.2711264381842</v>
      </c>
      <c r="H545" s="13">
        <f t="shared" si="34"/>
        <v>300000</v>
      </c>
      <c r="I545" s="13">
        <f t="shared" si="35"/>
        <v>56378.978850672836</v>
      </c>
    </row>
    <row r="546" spans="1:9" x14ac:dyDescent="0.25">
      <c r="A546" s="33">
        <v>14734.458449049349</v>
      </c>
      <c r="B546">
        <f t="shared" si="32"/>
        <v>300000</v>
      </c>
      <c r="C546" s="13">
        <f t="shared" si="33"/>
        <v>531412.09143345442</v>
      </c>
      <c r="G546" s="33">
        <v>5734.4584490493489</v>
      </c>
      <c r="H546" s="13">
        <f t="shared" si="34"/>
        <v>286722.92245246744</v>
      </c>
      <c r="I546" s="13">
        <f t="shared" si="35"/>
        <v>-98587.908566545579</v>
      </c>
    </row>
    <row r="547" spans="1:9" x14ac:dyDescent="0.25">
      <c r="A547" s="33">
        <v>16965.361491744741</v>
      </c>
      <c r="B547">
        <f t="shared" si="32"/>
        <v>300000</v>
      </c>
      <c r="C547" s="13">
        <f t="shared" si="33"/>
        <v>550000</v>
      </c>
      <c r="G547" s="33">
        <v>7965.361491744743</v>
      </c>
      <c r="H547" s="13">
        <f t="shared" si="34"/>
        <v>300000</v>
      </c>
      <c r="I547" s="13">
        <f t="shared" si="35"/>
        <v>57575.304422131972</v>
      </c>
    </row>
    <row r="548" spans="1:9" x14ac:dyDescent="0.25">
      <c r="A548" s="33">
        <v>13882.992034669027</v>
      </c>
      <c r="B548">
        <f t="shared" si="32"/>
        <v>300000</v>
      </c>
      <c r="C548" s="13">
        <f t="shared" si="33"/>
        <v>471809.44242683193</v>
      </c>
      <c r="G548" s="33">
        <v>4882.9920346690269</v>
      </c>
      <c r="H548" s="13">
        <f t="shared" si="34"/>
        <v>244149.60173345136</v>
      </c>
      <c r="I548" s="13">
        <f t="shared" si="35"/>
        <v>-158190.55757316813</v>
      </c>
    </row>
    <row r="549" spans="1:9" x14ac:dyDescent="0.25">
      <c r="A549" s="33">
        <v>13663.716544083987</v>
      </c>
      <c r="B549">
        <f t="shared" si="32"/>
        <v>300000</v>
      </c>
      <c r="C549" s="13">
        <f t="shared" si="33"/>
        <v>456460.15808587905</v>
      </c>
      <c r="G549" s="33">
        <v>4663.7165440839872</v>
      </c>
      <c r="H549" s="13">
        <f t="shared" si="34"/>
        <v>233185.82720419936</v>
      </c>
      <c r="I549" s="13">
        <f t="shared" si="35"/>
        <v>-173539.84191412089</v>
      </c>
    </row>
    <row r="550" spans="1:9" x14ac:dyDescent="0.25">
      <c r="A550" s="33">
        <v>16125.339518417921</v>
      </c>
      <c r="B550">
        <f t="shared" si="32"/>
        <v>300000</v>
      </c>
      <c r="C550" s="13">
        <f t="shared" si="33"/>
        <v>550000</v>
      </c>
      <c r="G550" s="33">
        <v>7125.3395184179208</v>
      </c>
      <c r="H550" s="13">
        <f t="shared" si="34"/>
        <v>300000</v>
      </c>
      <c r="I550" s="13">
        <f t="shared" si="35"/>
        <v>-1226.2337107455241</v>
      </c>
    </row>
    <row r="551" spans="1:9" x14ac:dyDescent="0.25">
      <c r="A551" s="33">
        <v>15612.475966673788</v>
      </c>
      <c r="B551">
        <f t="shared" si="32"/>
        <v>300000</v>
      </c>
      <c r="C551" s="13">
        <f t="shared" si="33"/>
        <v>550000</v>
      </c>
      <c r="G551" s="33">
        <v>6612.4759666737882</v>
      </c>
      <c r="H551" s="13">
        <f t="shared" si="34"/>
        <v>300000</v>
      </c>
      <c r="I551" s="13">
        <f t="shared" si="35"/>
        <v>-37126.682332834811</v>
      </c>
    </row>
    <row r="552" spans="1:9" x14ac:dyDescent="0.25">
      <c r="A552" s="33">
        <v>12186.620685445723</v>
      </c>
      <c r="B552">
        <f t="shared" si="32"/>
        <v>300000</v>
      </c>
      <c r="C552" s="13">
        <f t="shared" si="33"/>
        <v>353063.44798120065</v>
      </c>
      <c r="G552" s="33">
        <v>3186.6206854457228</v>
      </c>
      <c r="H552" s="13">
        <f t="shared" si="34"/>
        <v>159331.03427228614</v>
      </c>
      <c r="I552" s="13">
        <f t="shared" si="35"/>
        <v>-276936.55201879941</v>
      </c>
    </row>
    <row r="553" spans="1:9" x14ac:dyDescent="0.25">
      <c r="A553" s="33">
        <v>12901.058992278817</v>
      </c>
      <c r="B553">
        <f t="shared" si="32"/>
        <v>300000</v>
      </c>
      <c r="C553" s="13">
        <f t="shared" si="33"/>
        <v>403074.12945951719</v>
      </c>
      <c r="G553" s="33">
        <v>3901.0589922788172</v>
      </c>
      <c r="H553" s="13">
        <f t="shared" si="34"/>
        <v>195052.94961394087</v>
      </c>
      <c r="I553" s="13">
        <f t="shared" si="35"/>
        <v>-226925.87054048281</v>
      </c>
    </row>
    <row r="554" spans="1:9" x14ac:dyDescent="0.25">
      <c r="A554" s="33">
        <v>15313.547166356395</v>
      </c>
      <c r="B554">
        <f t="shared" si="32"/>
        <v>300000</v>
      </c>
      <c r="C554" s="13">
        <f t="shared" si="33"/>
        <v>550000</v>
      </c>
      <c r="G554" s="33">
        <v>6313.5471663563949</v>
      </c>
      <c r="H554" s="13">
        <f t="shared" si="34"/>
        <v>300000</v>
      </c>
      <c r="I554" s="13">
        <f t="shared" si="35"/>
        <v>-58051.698355052387</v>
      </c>
    </row>
    <row r="555" spans="1:9" x14ac:dyDescent="0.25">
      <c r="A555" s="33">
        <v>14308.725241859187</v>
      </c>
      <c r="B555">
        <f t="shared" si="32"/>
        <v>300000</v>
      </c>
      <c r="C555" s="13">
        <f t="shared" si="33"/>
        <v>501610.76693014312</v>
      </c>
      <c r="G555" s="33">
        <v>5308.725241859187</v>
      </c>
      <c r="H555" s="13">
        <f t="shared" si="34"/>
        <v>265436.26209295937</v>
      </c>
      <c r="I555" s="13">
        <f t="shared" si="35"/>
        <v>-128389.23306985688</v>
      </c>
    </row>
    <row r="556" spans="1:9" x14ac:dyDescent="0.25">
      <c r="A556" s="33">
        <v>16425.489059114352</v>
      </c>
      <c r="B556">
        <f t="shared" si="32"/>
        <v>300000</v>
      </c>
      <c r="C556" s="13">
        <f t="shared" si="33"/>
        <v>550000</v>
      </c>
      <c r="G556" s="33">
        <v>7425.489059114353</v>
      </c>
      <c r="H556" s="13">
        <f t="shared" si="34"/>
        <v>300000</v>
      </c>
      <c r="I556" s="13">
        <f t="shared" si="35"/>
        <v>19784.234138004715</v>
      </c>
    </row>
    <row r="557" spans="1:9" x14ac:dyDescent="0.25">
      <c r="A557" s="33">
        <v>16867.397076326793</v>
      </c>
      <c r="B557">
        <f t="shared" si="32"/>
        <v>300000</v>
      </c>
      <c r="C557" s="13">
        <f t="shared" si="33"/>
        <v>550000</v>
      </c>
      <c r="G557" s="33">
        <v>7867.3970763267916</v>
      </c>
      <c r="H557" s="13">
        <f t="shared" si="34"/>
        <v>300000</v>
      </c>
      <c r="I557" s="13">
        <f t="shared" si="35"/>
        <v>50717.795342875412</v>
      </c>
    </row>
    <row r="558" spans="1:9" x14ac:dyDescent="0.25">
      <c r="A558" s="33">
        <v>15368.78566850795</v>
      </c>
      <c r="B558">
        <f t="shared" si="32"/>
        <v>300000</v>
      </c>
      <c r="C558" s="13">
        <f t="shared" si="33"/>
        <v>550000</v>
      </c>
      <c r="G558" s="33">
        <v>6368.7856685079496</v>
      </c>
      <c r="H558" s="13">
        <f t="shared" si="34"/>
        <v>300000</v>
      </c>
      <c r="I558" s="13">
        <f t="shared" si="35"/>
        <v>-54185.00320444355</v>
      </c>
    </row>
    <row r="559" spans="1:9" x14ac:dyDescent="0.25">
      <c r="A559" s="33">
        <v>12276.039918210394</v>
      </c>
      <c r="B559">
        <f t="shared" si="32"/>
        <v>300000</v>
      </c>
      <c r="C559" s="13">
        <f t="shared" si="33"/>
        <v>359322.79427472758</v>
      </c>
      <c r="G559" s="33">
        <v>3276.0399182103947</v>
      </c>
      <c r="H559" s="13">
        <f t="shared" si="34"/>
        <v>163801.99591051973</v>
      </c>
      <c r="I559" s="13">
        <f t="shared" si="35"/>
        <v>-270677.20572527236</v>
      </c>
    </row>
    <row r="560" spans="1:9" x14ac:dyDescent="0.25">
      <c r="A560" s="33">
        <v>16143.192846461377</v>
      </c>
      <c r="B560">
        <f t="shared" si="32"/>
        <v>300000</v>
      </c>
      <c r="C560" s="13">
        <f t="shared" si="33"/>
        <v>550000</v>
      </c>
      <c r="G560" s="33">
        <v>7143.1928464613784</v>
      </c>
      <c r="H560" s="13">
        <f t="shared" si="34"/>
        <v>300000</v>
      </c>
      <c r="I560" s="13">
        <f t="shared" si="35"/>
        <v>23.499252296460327</v>
      </c>
    </row>
    <row r="561" spans="1:9" x14ac:dyDescent="0.25">
      <c r="A561" s="33">
        <v>12802.941984313486</v>
      </c>
      <c r="B561">
        <f t="shared" si="32"/>
        <v>300000</v>
      </c>
      <c r="C561" s="13">
        <f t="shared" si="33"/>
        <v>396205.93890194397</v>
      </c>
      <c r="G561" s="33">
        <v>3802.941984313486</v>
      </c>
      <c r="H561" s="13">
        <f t="shared" si="34"/>
        <v>190147.0992156743</v>
      </c>
      <c r="I561" s="13">
        <f t="shared" si="35"/>
        <v>-233794.06109805597</v>
      </c>
    </row>
    <row r="562" spans="1:9" x14ac:dyDescent="0.25">
      <c r="A562" s="33">
        <v>14454.145939512315</v>
      </c>
      <c r="B562">
        <f t="shared" si="32"/>
        <v>300000</v>
      </c>
      <c r="C562" s="13">
        <f t="shared" si="33"/>
        <v>511790.21576586203</v>
      </c>
      <c r="G562" s="33">
        <v>5454.1459395123147</v>
      </c>
      <c r="H562" s="13">
        <f t="shared" si="34"/>
        <v>272707.29697561573</v>
      </c>
      <c r="I562" s="13">
        <f t="shared" si="35"/>
        <v>-118209.78423413797</v>
      </c>
    </row>
    <row r="563" spans="1:9" x14ac:dyDescent="0.25">
      <c r="A563" s="33">
        <v>12868.25159459212</v>
      </c>
      <c r="B563">
        <f t="shared" si="32"/>
        <v>300000</v>
      </c>
      <c r="C563" s="13">
        <f t="shared" si="33"/>
        <v>400777.61162144842</v>
      </c>
      <c r="G563" s="33">
        <v>3868.25159459212</v>
      </c>
      <c r="H563" s="13">
        <f t="shared" si="34"/>
        <v>193412.57972960599</v>
      </c>
      <c r="I563" s="13">
        <f t="shared" si="35"/>
        <v>-229222.38837855158</v>
      </c>
    </row>
    <row r="564" spans="1:9" x14ac:dyDescent="0.25">
      <c r="A564" s="33">
        <v>15245.185705130161</v>
      </c>
      <c r="B564">
        <f t="shared" si="32"/>
        <v>300000</v>
      </c>
      <c r="C564" s="13">
        <f t="shared" si="33"/>
        <v>550000</v>
      </c>
      <c r="G564" s="33">
        <v>6245.1857051301613</v>
      </c>
      <c r="H564" s="13">
        <f t="shared" si="34"/>
        <v>300000</v>
      </c>
      <c r="I564" s="13">
        <f t="shared" si="35"/>
        <v>-62837.000640888698</v>
      </c>
    </row>
    <row r="565" spans="1:9" x14ac:dyDescent="0.25">
      <c r="A565" s="33">
        <v>14589.495529038362</v>
      </c>
      <c r="B565">
        <f t="shared" si="32"/>
        <v>300000</v>
      </c>
      <c r="C565" s="13">
        <f t="shared" si="33"/>
        <v>521264.68703268538</v>
      </c>
      <c r="G565" s="33">
        <v>5589.4955290383623</v>
      </c>
      <c r="H565" s="13">
        <f t="shared" si="34"/>
        <v>279474.77645191812</v>
      </c>
      <c r="I565" s="13">
        <f t="shared" si="35"/>
        <v>-108735.31296731462</v>
      </c>
    </row>
    <row r="566" spans="1:9" x14ac:dyDescent="0.25">
      <c r="A566" s="33">
        <v>16631.183812982574</v>
      </c>
      <c r="B566">
        <f t="shared" si="32"/>
        <v>300000</v>
      </c>
      <c r="C566" s="13">
        <f t="shared" si="33"/>
        <v>550000</v>
      </c>
      <c r="G566" s="33">
        <v>7631.1838129825737</v>
      </c>
      <c r="H566" s="13">
        <f t="shared" si="34"/>
        <v>300000</v>
      </c>
      <c r="I566" s="13">
        <f t="shared" si="35"/>
        <v>34182.866908780183</v>
      </c>
    </row>
    <row r="567" spans="1:9" x14ac:dyDescent="0.25">
      <c r="A567" s="33">
        <v>14284.768211920529</v>
      </c>
      <c r="B567">
        <f t="shared" si="32"/>
        <v>300000</v>
      </c>
      <c r="C567" s="13">
        <f t="shared" si="33"/>
        <v>499933.77483443706</v>
      </c>
      <c r="G567" s="33">
        <v>5284.7682119205292</v>
      </c>
      <c r="H567" s="13">
        <f t="shared" si="34"/>
        <v>264238.41059602646</v>
      </c>
      <c r="I567" s="13">
        <f t="shared" si="35"/>
        <v>-130066.22516556294</v>
      </c>
    </row>
    <row r="568" spans="1:9" x14ac:dyDescent="0.25">
      <c r="A568" s="33">
        <v>15483.687856685079</v>
      </c>
      <c r="B568">
        <f t="shared" si="32"/>
        <v>300000</v>
      </c>
      <c r="C568" s="13">
        <f t="shared" si="33"/>
        <v>550000</v>
      </c>
      <c r="G568" s="33">
        <v>6483.6878566850792</v>
      </c>
      <c r="H568" s="13">
        <f t="shared" si="34"/>
        <v>300000</v>
      </c>
      <c r="I568" s="13">
        <f t="shared" si="35"/>
        <v>-46141.850032044458</v>
      </c>
    </row>
    <row r="569" spans="1:9" x14ac:dyDescent="0.25">
      <c r="A569" s="33">
        <v>15420.514542069766</v>
      </c>
      <c r="B569">
        <f t="shared" si="32"/>
        <v>300000</v>
      </c>
      <c r="C569" s="13">
        <f t="shared" si="33"/>
        <v>550000</v>
      </c>
      <c r="G569" s="33">
        <v>6420.5145420697654</v>
      </c>
      <c r="H569" s="13">
        <f t="shared" si="34"/>
        <v>300000</v>
      </c>
      <c r="I569" s="13">
        <f t="shared" si="35"/>
        <v>-50563.982055116445</v>
      </c>
    </row>
    <row r="570" spans="1:9" x14ac:dyDescent="0.25">
      <c r="A570" s="33">
        <v>14469.405194250314</v>
      </c>
      <c r="B570">
        <f t="shared" si="32"/>
        <v>300000</v>
      </c>
      <c r="C570" s="13">
        <f t="shared" si="33"/>
        <v>512858.36359752202</v>
      </c>
      <c r="G570" s="33">
        <v>5469.4051942503129</v>
      </c>
      <c r="H570" s="13">
        <f t="shared" si="34"/>
        <v>273470.25971251563</v>
      </c>
      <c r="I570" s="13">
        <f t="shared" si="35"/>
        <v>-117141.63640247809</v>
      </c>
    </row>
    <row r="571" spans="1:9" x14ac:dyDescent="0.25">
      <c r="A571" s="33">
        <v>14863.856929227577</v>
      </c>
      <c r="B571">
        <f t="shared" si="32"/>
        <v>300000</v>
      </c>
      <c r="C571" s="13">
        <f t="shared" si="33"/>
        <v>540469.98504593037</v>
      </c>
      <c r="G571" s="33">
        <v>5863.856929227577</v>
      </c>
      <c r="H571" s="13">
        <f t="shared" si="34"/>
        <v>293192.84646137885</v>
      </c>
      <c r="I571" s="13">
        <f t="shared" si="35"/>
        <v>-89530.014954069629</v>
      </c>
    </row>
    <row r="572" spans="1:9" x14ac:dyDescent="0.25">
      <c r="A572" s="33">
        <v>16201.330607013153</v>
      </c>
      <c r="B572">
        <f t="shared" si="32"/>
        <v>300000</v>
      </c>
      <c r="C572" s="13">
        <f t="shared" si="33"/>
        <v>550000</v>
      </c>
      <c r="G572" s="33">
        <v>7201.330607013153</v>
      </c>
      <c r="H572" s="13">
        <f t="shared" si="34"/>
        <v>300000</v>
      </c>
      <c r="I572" s="13">
        <f t="shared" si="35"/>
        <v>4093.1424909207271</v>
      </c>
    </row>
    <row r="573" spans="1:9" x14ac:dyDescent="0.25">
      <c r="A573" s="33">
        <v>16694.509720145266</v>
      </c>
      <c r="B573">
        <f t="shared" si="32"/>
        <v>300000</v>
      </c>
      <c r="C573" s="13">
        <f t="shared" si="33"/>
        <v>550000</v>
      </c>
      <c r="G573" s="33">
        <v>7694.5097201452681</v>
      </c>
      <c r="H573" s="13">
        <f t="shared" si="34"/>
        <v>300000</v>
      </c>
      <c r="I573" s="13">
        <f t="shared" si="35"/>
        <v>38615.680410168716</v>
      </c>
    </row>
    <row r="574" spans="1:9" x14ac:dyDescent="0.25">
      <c r="A574" s="33">
        <v>12995.208594012269</v>
      </c>
      <c r="B574">
        <f t="shared" si="32"/>
        <v>300000</v>
      </c>
      <c r="C574" s="13">
        <f t="shared" si="33"/>
        <v>409664.60158085881</v>
      </c>
      <c r="G574" s="33">
        <v>3995.2085940122683</v>
      </c>
      <c r="H574" s="13">
        <f t="shared" si="34"/>
        <v>199760.42970061343</v>
      </c>
      <c r="I574" s="13">
        <f t="shared" si="35"/>
        <v>-220335.39841914119</v>
      </c>
    </row>
    <row r="575" spans="1:9" x14ac:dyDescent="0.25">
      <c r="A575" s="33">
        <v>14362.895596179082</v>
      </c>
      <c r="B575">
        <f t="shared" si="32"/>
        <v>300000</v>
      </c>
      <c r="C575" s="13">
        <f t="shared" si="33"/>
        <v>505402.69173253572</v>
      </c>
      <c r="G575" s="33">
        <v>5362.8955961790825</v>
      </c>
      <c r="H575" s="13">
        <f t="shared" si="34"/>
        <v>268144.7798089541</v>
      </c>
      <c r="I575" s="13">
        <f t="shared" si="35"/>
        <v>-124597.30826746422</v>
      </c>
    </row>
    <row r="576" spans="1:9" x14ac:dyDescent="0.25">
      <c r="A576" s="33">
        <v>16116.48915066988</v>
      </c>
      <c r="B576">
        <f t="shared" si="32"/>
        <v>300000</v>
      </c>
      <c r="C576" s="13">
        <f t="shared" si="33"/>
        <v>550000</v>
      </c>
      <c r="G576" s="33">
        <v>7116.4891506698814</v>
      </c>
      <c r="H576" s="13">
        <f t="shared" si="34"/>
        <v>300000</v>
      </c>
      <c r="I576" s="13">
        <f t="shared" si="35"/>
        <v>-1845.7594531083014</v>
      </c>
    </row>
    <row r="577" spans="1:9" x14ac:dyDescent="0.25">
      <c r="A577" s="33">
        <v>15783.074434644612</v>
      </c>
      <c r="B577">
        <f t="shared" si="32"/>
        <v>300000</v>
      </c>
      <c r="C577" s="13">
        <f t="shared" si="33"/>
        <v>550000</v>
      </c>
      <c r="G577" s="33">
        <v>6783.0744346446118</v>
      </c>
      <c r="H577" s="13">
        <f t="shared" si="34"/>
        <v>300000</v>
      </c>
      <c r="I577" s="13">
        <f t="shared" si="35"/>
        <v>-25184.789574877184</v>
      </c>
    </row>
    <row r="578" spans="1:9" x14ac:dyDescent="0.25">
      <c r="A578" s="33">
        <v>12009.1555528428</v>
      </c>
      <c r="B578">
        <f t="shared" si="32"/>
        <v>300000</v>
      </c>
      <c r="C578" s="13">
        <f t="shared" si="33"/>
        <v>340640.88869899604</v>
      </c>
      <c r="G578" s="33">
        <v>3009.1555528427994</v>
      </c>
      <c r="H578" s="13">
        <f t="shared" si="34"/>
        <v>150457.77764213996</v>
      </c>
      <c r="I578" s="13">
        <f t="shared" si="35"/>
        <v>-289359.11130100407</v>
      </c>
    </row>
    <row r="579" spans="1:9" x14ac:dyDescent="0.25">
      <c r="A579" s="33">
        <v>15130.893887142553</v>
      </c>
      <c r="B579">
        <f t="shared" si="32"/>
        <v>300000</v>
      </c>
      <c r="C579" s="13">
        <f t="shared" si="33"/>
        <v>550000</v>
      </c>
      <c r="G579" s="33">
        <v>6130.8938871425516</v>
      </c>
      <c r="H579" s="13">
        <f t="shared" si="34"/>
        <v>300000</v>
      </c>
      <c r="I579" s="13">
        <f t="shared" si="35"/>
        <v>-70837.427900021372</v>
      </c>
    </row>
    <row r="580" spans="1:9" x14ac:dyDescent="0.25">
      <c r="A580" s="33">
        <v>15431.501205481125</v>
      </c>
      <c r="B580">
        <f t="shared" si="32"/>
        <v>300000</v>
      </c>
      <c r="C580" s="13">
        <f t="shared" si="33"/>
        <v>550000</v>
      </c>
      <c r="G580" s="33">
        <v>6431.501205481125</v>
      </c>
      <c r="H580" s="13">
        <f t="shared" si="34"/>
        <v>300000</v>
      </c>
      <c r="I580" s="13">
        <f t="shared" si="35"/>
        <v>-49794.915616321261</v>
      </c>
    </row>
    <row r="581" spans="1:9" x14ac:dyDescent="0.25">
      <c r="A581" s="33">
        <v>12834.681234168524</v>
      </c>
      <c r="B581">
        <f t="shared" si="32"/>
        <v>300000</v>
      </c>
      <c r="C581" s="13">
        <f t="shared" si="33"/>
        <v>398427.68639179668</v>
      </c>
      <c r="G581" s="33">
        <v>3834.6812341685231</v>
      </c>
      <c r="H581" s="13">
        <f t="shared" si="34"/>
        <v>191734.06170842616</v>
      </c>
      <c r="I581" s="13">
        <f t="shared" si="35"/>
        <v>-231572.31360820337</v>
      </c>
    </row>
    <row r="582" spans="1:9" x14ac:dyDescent="0.25">
      <c r="A582" s="33">
        <v>16304.025391399884</v>
      </c>
      <c r="B582">
        <f t="shared" si="32"/>
        <v>300000</v>
      </c>
      <c r="C582" s="13">
        <f t="shared" si="33"/>
        <v>550000</v>
      </c>
      <c r="G582" s="33">
        <v>7304.025391399884</v>
      </c>
      <c r="H582" s="13">
        <f t="shared" si="34"/>
        <v>300000</v>
      </c>
      <c r="I582" s="13">
        <f t="shared" si="35"/>
        <v>11281.777397991857</v>
      </c>
    </row>
    <row r="583" spans="1:9" x14ac:dyDescent="0.25">
      <c r="A583" s="33">
        <v>14579.271828363902</v>
      </c>
      <c r="B583">
        <f t="shared" si="32"/>
        <v>300000</v>
      </c>
      <c r="C583" s="13">
        <f t="shared" si="33"/>
        <v>520549.02798547316</v>
      </c>
      <c r="G583" s="33">
        <v>5579.2718283639024</v>
      </c>
      <c r="H583" s="13">
        <f t="shared" si="34"/>
        <v>278963.59141819511</v>
      </c>
      <c r="I583" s="13">
        <f t="shared" si="35"/>
        <v>-109450.97201452684</v>
      </c>
    </row>
    <row r="584" spans="1:9" x14ac:dyDescent="0.25">
      <c r="A584" s="33">
        <v>14042.909024323251</v>
      </c>
      <c r="B584">
        <f t="shared" si="32"/>
        <v>300000</v>
      </c>
      <c r="C584" s="13">
        <f t="shared" si="33"/>
        <v>483003.63170262764</v>
      </c>
      <c r="G584" s="33">
        <v>5042.9090243232522</v>
      </c>
      <c r="H584" s="13">
        <f t="shared" si="34"/>
        <v>252145.45121616262</v>
      </c>
      <c r="I584" s="13">
        <f t="shared" si="35"/>
        <v>-146996.36829737236</v>
      </c>
    </row>
    <row r="585" spans="1:9" x14ac:dyDescent="0.25">
      <c r="A585" s="33">
        <v>14265.083773308512</v>
      </c>
      <c r="B585">
        <f t="shared" si="32"/>
        <v>300000</v>
      </c>
      <c r="C585" s="13">
        <f t="shared" si="33"/>
        <v>498555.86413159582</v>
      </c>
      <c r="G585" s="33">
        <v>5265.0837733085118</v>
      </c>
      <c r="H585" s="13">
        <f t="shared" si="34"/>
        <v>263254.18866542558</v>
      </c>
      <c r="I585" s="13">
        <f t="shared" si="35"/>
        <v>-131444.13586840418</v>
      </c>
    </row>
    <row r="586" spans="1:9" x14ac:dyDescent="0.25">
      <c r="A586" s="33">
        <v>15813.898129215369</v>
      </c>
      <c r="B586">
        <f t="shared" si="32"/>
        <v>300000</v>
      </c>
      <c r="C586" s="13">
        <f t="shared" si="33"/>
        <v>550000</v>
      </c>
      <c r="G586" s="33">
        <v>6813.8981292153694</v>
      </c>
      <c r="H586" s="13">
        <f t="shared" si="34"/>
        <v>300000</v>
      </c>
      <c r="I586" s="13">
        <f t="shared" si="35"/>
        <v>-23027.130954924156</v>
      </c>
    </row>
    <row r="587" spans="1:9" x14ac:dyDescent="0.25">
      <c r="A587" s="33">
        <v>12858.790856654561</v>
      </c>
      <c r="B587">
        <f t="shared" ref="B587:B650" si="36">MIN(A587,6000)*50</f>
        <v>300000</v>
      </c>
      <c r="C587" s="13">
        <f t="shared" ref="C587:C650" si="37">MIN(A587,$C$3)*$C$6-500000</f>
        <v>400115.35996581928</v>
      </c>
      <c r="G587" s="33">
        <v>3858.7908566545611</v>
      </c>
      <c r="H587" s="13">
        <f t="shared" ref="H587:H650" si="38">MIN(G587,6000)*50</f>
        <v>192939.54283272807</v>
      </c>
      <c r="I587" s="13">
        <f t="shared" ref="I587:I650" si="39">MIN(G587,15000)*70-500000</f>
        <v>-229884.64003418072</v>
      </c>
    </row>
    <row r="588" spans="1:9" x14ac:dyDescent="0.25">
      <c r="A588" s="33">
        <v>14137.974181340984</v>
      </c>
      <c r="B588">
        <f t="shared" si="36"/>
        <v>300000</v>
      </c>
      <c r="C588" s="13">
        <f t="shared" si="37"/>
        <v>489658.19269386888</v>
      </c>
      <c r="G588" s="33">
        <v>5137.9741813409837</v>
      </c>
      <c r="H588" s="13">
        <f t="shared" si="38"/>
        <v>256898.70906704917</v>
      </c>
      <c r="I588" s="13">
        <f t="shared" si="39"/>
        <v>-140341.80730613112</v>
      </c>
    </row>
    <row r="589" spans="1:9" x14ac:dyDescent="0.25">
      <c r="A589" s="33">
        <v>13095.6144901883</v>
      </c>
      <c r="B589">
        <f t="shared" si="36"/>
        <v>300000</v>
      </c>
      <c r="C589" s="13">
        <f t="shared" si="37"/>
        <v>416693.01431318105</v>
      </c>
      <c r="G589" s="33">
        <v>4095.614490188299</v>
      </c>
      <c r="H589" s="13">
        <f t="shared" si="38"/>
        <v>204780.72450941495</v>
      </c>
      <c r="I589" s="13">
        <f t="shared" si="39"/>
        <v>-213306.98568681907</v>
      </c>
    </row>
    <row r="590" spans="1:9" x14ac:dyDescent="0.25">
      <c r="A590" s="33">
        <v>15227.332377086703</v>
      </c>
      <c r="B590">
        <f t="shared" si="36"/>
        <v>300000</v>
      </c>
      <c r="C590" s="13">
        <f t="shared" si="37"/>
        <v>550000</v>
      </c>
      <c r="G590" s="33">
        <v>6227.3323770867028</v>
      </c>
      <c r="H590" s="13">
        <f t="shared" si="38"/>
        <v>300000</v>
      </c>
      <c r="I590" s="13">
        <f t="shared" si="39"/>
        <v>-64086.733603930799</v>
      </c>
    </row>
    <row r="591" spans="1:9" x14ac:dyDescent="0.25">
      <c r="A591" s="33">
        <v>12146.946623126927</v>
      </c>
      <c r="B591">
        <f t="shared" si="36"/>
        <v>300000</v>
      </c>
      <c r="C591" s="13">
        <f t="shared" si="37"/>
        <v>350286.26361888484</v>
      </c>
      <c r="G591" s="33">
        <v>3146.9466231269266</v>
      </c>
      <c r="H591" s="13">
        <f t="shared" si="38"/>
        <v>157347.33115634634</v>
      </c>
      <c r="I591" s="13">
        <f t="shared" si="39"/>
        <v>-279713.73638111516</v>
      </c>
    </row>
    <row r="592" spans="1:9" x14ac:dyDescent="0.25">
      <c r="A592" s="33">
        <v>12955.687124240852</v>
      </c>
      <c r="B592">
        <f t="shared" si="36"/>
        <v>300000</v>
      </c>
      <c r="C592" s="13">
        <f t="shared" si="37"/>
        <v>406898.09869685967</v>
      </c>
      <c r="G592" s="33">
        <v>3955.687124240852</v>
      </c>
      <c r="H592" s="13">
        <f t="shared" si="38"/>
        <v>197784.35621204259</v>
      </c>
      <c r="I592" s="13">
        <f t="shared" si="39"/>
        <v>-223101.90130314039</v>
      </c>
    </row>
    <row r="593" spans="1:9" x14ac:dyDescent="0.25">
      <c r="A593" s="33">
        <v>13792.809839167456</v>
      </c>
      <c r="B593">
        <f t="shared" si="36"/>
        <v>300000</v>
      </c>
      <c r="C593" s="13">
        <f t="shared" si="37"/>
        <v>465496.68874172191</v>
      </c>
      <c r="G593" s="33">
        <v>4792.8098391674557</v>
      </c>
      <c r="H593" s="13">
        <f t="shared" si="38"/>
        <v>239640.49195837279</v>
      </c>
      <c r="I593" s="13">
        <f t="shared" si="39"/>
        <v>-164503.31125827809</v>
      </c>
    </row>
    <row r="594" spans="1:9" x14ac:dyDescent="0.25">
      <c r="A594" s="33">
        <v>15093.203527939695</v>
      </c>
      <c r="B594">
        <f t="shared" si="36"/>
        <v>300000</v>
      </c>
      <c r="C594" s="13">
        <f t="shared" si="37"/>
        <v>550000</v>
      </c>
      <c r="G594" s="33">
        <v>6093.2035279396951</v>
      </c>
      <c r="H594" s="13">
        <f t="shared" si="38"/>
        <v>300000</v>
      </c>
      <c r="I594" s="13">
        <f t="shared" si="39"/>
        <v>-73475.753044221317</v>
      </c>
    </row>
    <row r="595" spans="1:9" x14ac:dyDescent="0.25">
      <c r="A595" s="33">
        <v>16453.566087832271</v>
      </c>
      <c r="B595">
        <f t="shared" si="36"/>
        <v>300000</v>
      </c>
      <c r="C595" s="13">
        <f t="shared" si="37"/>
        <v>550000</v>
      </c>
      <c r="G595" s="33">
        <v>7453.5660878322706</v>
      </c>
      <c r="H595" s="13">
        <f t="shared" si="38"/>
        <v>300000</v>
      </c>
      <c r="I595" s="13">
        <f t="shared" si="39"/>
        <v>21749.626148258918</v>
      </c>
    </row>
    <row r="596" spans="1:9" x14ac:dyDescent="0.25">
      <c r="A596" s="33">
        <v>13996.826075014496</v>
      </c>
      <c r="B596">
        <f t="shared" si="36"/>
        <v>300000</v>
      </c>
      <c r="C596" s="13">
        <f t="shared" si="37"/>
        <v>479777.82525101479</v>
      </c>
      <c r="G596" s="33">
        <v>4996.8260750144964</v>
      </c>
      <c r="H596" s="13">
        <f t="shared" si="38"/>
        <v>249841.30375072482</v>
      </c>
      <c r="I596" s="13">
        <f t="shared" si="39"/>
        <v>-150222.17474898527</v>
      </c>
    </row>
    <row r="597" spans="1:9" x14ac:dyDescent="0.25">
      <c r="A597" s="33">
        <v>16765.160069582202</v>
      </c>
      <c r="B597">
        <f t="shared" si="36"/>
        <v>300000</v>
      </c>
      <c r="C597" s="13">
        <f t="shared" si="37"/>
        <v>550000</v>
      </c>
      <c r="G597" s="33">
        <v>7765.1600695822017</v>
      </c>
      <c r="H597" s="13">
        <f t="shared" si="38"/>
        <v>300000</v>
      </c>
      <c r="I597" s="13">
        <f t="shared" si="39"/>
        <v>43561.204870754154</v>
      </c>
    </row>
    <row r="598" spans="1:9" x14ac:dyDescent="0.25">
      <c r="A598" s="33">
        <v>13953.184606463819</v>
      </c>
      <c r="B598">
        <f t="shared" si="36"/>
        <v>300000</v>
      </c>
      <c r="C598" s="13">
        <f t="shared" si="37"/>
        <v>476722.92245246738</v>
      </c>
      <c r="G598" s="33">
        <v>4953.1846064638203</v>
      </c>
      <c r="H598" s="13">
        <f t="shared" si="38"/>
        <v>247659.230323191</v>
      </c>
      <c r="I598" s="13">
        <f t="shared" si="39"/>
        <v>-153277.07754753256</v>
      </c>
    </row>
    <row r="599" spans="1:9" x14ac:dyDescent="0.25">
      <c r="A599" s="33">
        <v>13349.528489028595</v>
      </c>
      <c r="B599">
        <f t="shared" si="36"/>
        <v>300000</v>
      </c>
      <c r="C599" s="13">
        <f t="shared" si="37"/>
        <v>434466.9942320016</v>
      </c>
      <c r="G599" s="33">
        <v>4349.5284890285957</v>
      </c>
      <c r="H599" s="13">
        <f t="shared" si="38"/>
        <v>217476.42445142978</v>
      </c>
      <c r="I599" s="13">
        <f t="shared" si="39"/>
        <v>-195533.00576799829</v>
      </c>
    </row>
    <row r="600" spans="1:9" x14ac:dyDescent="0.25">
      <c r="A600" s="33">
        <v>12460.982085634938</v>
      </c>
      <c r="B600">
        <f t="shared" si="36"/>
        <v>300000</v>
      </c>
      <c r="C600" s="13">
        <f t="shared" si="37"/>
        <v>372268.74599444564</v>
      </c>
      <c r="G600" s="33">
        <v>3460.9820856349374</v>
      </c>
      <c r="H600" s="13">
        <f t="shared" si="38"/>
        <v>173049.10428174687</v>
      </c>
      <c r="I600" s="13">
        <f t="shared" si="39"/>
        <v>-257731.25400555436</v>
      </c>
    </row>
    <row r="601" spans="1:9" x14ac:dyDescent="0.25">
      <c r="A601" s="33">
        <v>15176.213873714409</v>
      </c>
      <c r="B601">
        <f t="shared" si="36"/>
        <v>300000</v>
      </c>
      <c r="C601" s="13">
        <f t="shared" si="37"/>
        <v>550000</v>
      </c>
      <c r="G601" s="33">
        <v>6176.2138737144078</v>
      </c>
      <c r="H601" s="13">
        <f t="shared" si="38"/>
        <v>300000</v>
      </c>
      <c r="I601" s="13">
        <f t="shared" si="39"/>
        <v>-67665.028839991428</v>
      </c>
    </row>
    <row r="602" spans="1:9" x14ac:dyDescent="0.25">
      <c r="A602" s="33">
        <v>13530.045472579119</v>
      </c>
      <c r="B602">
        <f t="shared" si="36"/>
        <v>300000</v>
      </c>
      <c r="C602" s="13">
        <f t="shared" si="37"/>
        <v>447103.18308053829</v>
      </c>
      <c r="G602" s="33">
        <v>4530.0454725791196</v>
      </c>
      <c r="H602" s="13">
        <f t="shared" si="38"/>
        <v>226502.27362895597</v>
      </c>
      <c r="I602" s="13">
        <f t="shared" si="39"/>
        <v>-182896.81691946165</v>
      </c>
    </row>
    <row r="603" spans="1:9" x14ac:dyDescent="0.25">
      <c r="A603" s="33">
        <v>16526.505325479906</v>
      </c>
      <c r="B603">
        <f t="shared" si="36"/>
        <v>300000</v>
      </c>
      <c r="C603" s="13">
        <f t="shared" si="37"/>
        <v>550000</v>
      </c>
      <c r="G603" s="33">
        <v>7526.5053254799041</v>
      </c>
      <c r="H603" s="13">
        <f t="shared" si="38"/>
        <v>300000</v>
      </c>
      <c r="I603" s="13">
        <f t="shared" si="39"/>
        <v>26855.372783593251</v>
      </c>
    </row>
    <row r="604" spans="1:9" x14ac:dyDescent="0.25">
      <c r="A604" s="33">
        <v>13194.036683248391</v>
      </c>
      <c r="B604">
        <f t="shared" si="36"/>
        <v>300000</v>
      </c>
      <c r="C604" s="13">
        <f t="shared" si="37"/>
        <v>423582.56782738736</v>
      </c>
      <c r="G604" s="33">
        <v>4194.0366832483905</v>
      </c>
      <c r="H604" s="13">
        <f t="shared" si="38"/>
        <v>209701.83416241952</v>
      </c>
      <c r="I604" s="13">
        <f t="shared" si="39"/>
        <v>-206417.43217261264</v>
      </c>
    </row>
    <row r="605" spans="1:9" x14ac:dyDescent="0.25">
      <c r="A605" s="33">
        <v>14227.088229010895</v>
      </c>
      <c r="B605">
        <f t="shared" si="36"/>
        <v>300000</v>
      </c>
      <c r="C605" s="13">
        <f t="shared" si="37"/>
        <v>495896.17603076261</v>
      </c>
      <c r="G605" s="33">
        <v>5227.0882290108948</v>
      </c>
      <c r="H605" s="13">
        <f t="shared" si="38"/>
        <v>261354.41145054475</v>
      </c>
      <c r="I605" s="13">
        <f t="shared" si="39"/>
        <v>-134103.82396923739</v>
      </c>
    </row>
    <row r="606" spans="1:9" x14ac:dyDescent="0.25">
      <c r="A606" s="33">
        <v>16504.379406109805</v>
      </c>
      <c r="B606">
        <f t="shared" si="36"/>
        <v>300000</v>
      </c>
      <c r="C606" s="13">
        <f t="shared" si="37"/>
        <v>550000</v>
      </c>
      <c r="G606" s="33">
        <v>7504.379406109806</v>
      </c>
      <c r="H606" s="13">
        <f t="shared" si="38"/>
        <v>300000</v>
      </c>
      <c r="I606" s="13">
        <f t="shared" si="39"/>
        <v>25306.558427686454</v>
      </c>
    </row>
    <row r="607" spans="1:9" x14ac:dyDescent="0.25">
      <c r="A607" s="33">
        <v>15591.875972777489</v>
      </c>
      <c r="B607">
        <f t="shared" si="36"/>
        <v>300000</v>
      </c>
      <c r="C607" s="13">
        <f t="shared" si="37"/>
        <v>550000</v>
      </c>
      <c r="G607" s="33">
        <v>6591.8759727774896</v>
      </c>
      <c r="H607" s="13">
        <f t="shared" si="38"/>
        <v>300000</v>
      </c>
      <c r="I607" s="13">
        <f t="shared" si="39"/>
        <v>-38568.681905575737</v>
      </c>
    </row>
    <row r="608" spans="1:9" x14ac:dyDescent="0.25">
      <c r="A608" s="33">
        <v>16926.602984710225</v>
      </c>
      <c r="B608">
        <f t="shared" si="36"/>
        <v>300000</v>
      </c>
      <c r="C608" s="13">
        <f t="shared" si="37"/>
        <v>550000</v>
      </c>
      <c r="G608" s="33">
        <v>7926.6029847102263</v>
      </c>
      <c r="H608" s="13">
        <f t="shared" si="38"/>
        <v>300000</v>
      </c>
      <c r="I608" s="13">
        <f t="shared" si="39"/>
        <v>54862.208929715795</v>
      </c>
    </row>
    <row r="609" spans="1:9" x14ac:dyDescent="0.25">
      <c r="A609" s="33">
        <v>15566.240424817652</v>
      </c>
      <c r="B609">
        <f t="shared" si="36"/>
        <v>300000</v>
      </c>
      <c r="C609" s="13">
        <f t="shared" si="37"/>
        <v>550000</v>
      </c>
      <c r="G609" s="33">
        <v>6566.2404248176517</v>
      </c>
      <c r="H609" s="13">
        <f t="shared" si="38"/>
        <v>300000</v>
      </c>
      <c r="I609" s="13">
        <f t="shared" si="39"/>
        <v>-40363.170262764383</v>
      </c>
    </row>
    <row r="610" spans="1:9" x14ac:dyDescent="0.25">
      <c r="A610" s="33">
        <v>13909.695730460524</v>
      </c>
      <c r="B610">
        <f t="shared" si="36"/>
        <v>300000</v>
      </c>
      <c r="C610" s="13">
        <f t="shared" si="37"/>
        <v>473678.70113223663</v>
      </c>
      <c r="G610" s="33">
        <v>4909.6957304605239</v>
      </c>
      <c r="H610" s="13">
        <f t="shared" si="38"/>
        <v>245484.78652302618</v>
      </c>
      <c r="I610" s="13">
        <f t="shared" si="39"/>
        <v>-156321.29886776331</v>
      </c>
    </row>
    <row r="611" spans="1:9" x14ac:dyDescent="0.25">
      <c r="A611" s="33">
        <v>12007.171849726859</v>
      </c>
      <c r="B611">
        <f t="shared" si="36"/>
        <v>300000</v>
      </c>
      <c r="C611" s="13">
        <f t="shared" si="37"/>
        <v>340502.02948088013</v>
      </c>
      <c r="G611" s="33">
        <v>3007.1718497268594</v>
      </c>
      <c r="H611" s="13">
        <f t="shared" si="38"/>
        <v>150358.59248634297</v>
      </c>
      <c r="I611" s="13">
        <f t="shared" si="39"/>
        <v>-289497.97051911987</v>
      </c>
    </row>
    <row r="612" spans="1:9" x14ac:dyDescent="0.25">
      <c r="A612" s="33">
        <v>13084.627826776939</v>
      </c>
      <c r="B612">
        <f t="shared" si="36"/>
        <v>300000</v>
      </c>
      <c r="C612" s="13">
        <f t="shared" si="37"/>
        <v>415923.94787438575</v>
      </c>
      <c r="G612" s="33">
        <v>4084.6278267769403</v>
      </c>
      <c r="H612" s="13">
        <f t="shared" si="38"/>
        <v>204231.39133884702</v>
      </c>
      <c r="I612" s="13">
        <f t="shared" si="39"/>
        <v>-214076.05212561419</v>
      </c>
    </row>
    <row r="613" spans="1:9" x14ac:dyDescent="0.25">
      <c r="A613" s="33">
        <v>16982.604449598683</v>
      </c>
      <c r="B613">
        <f t="shared" si="36"/>
        <v>300000</v>
      </c>
      <c r="C613" s="13">
        <f t="shared" si="37"/>
        <v>550000</v>
      </c>
      <c r="G613" s="33">
        <v>7982.6044495986816</v>
      </c>
      <c r="H613" s="13">
        <f t="shared" si="38"/>
        <v>300000</v>
      </c>
      <c r="I613" s="13">
        <f t="shared" si="39"/>
        <v>58782.311471907771</v>
      </c>
    </row>
    <row r="614" spans="1:9" x14ac:dyDescent="0.25">
      <c r="A614" s="33">
        <v>16679.403057954649</v>
      </c>
      <c r="B614">
        <f t="shared" si="36"/>
        <v>300000</v>
      </c>
      <c r="C614" s="13">
        <f t="shared" si="37"/>
        <v>550000</v>
      </c>
      <c r="G614" s="33">
        <v>7679.4030579546497</v>
      </c>
      <c r="H614" s="13">
        <f t="shared" si="38"/>
        <v>300000</v>
      </c>
      <c r="I614" s="13">
        <f t="shared" si="39"/>
        <v>37558.214056825498</v>
      </c>
    </row>
    <row r="615" spans="1:9" x14ac:dyDescent="0.25">
      <c r="A615" s="33">
        <v>12575.426496169926</v>
      </c>
      <c r="B615">
        <f t="shared" si="36"/>
        <v>300000</v>
      </c>
      <c r="C615" s="13">
        <f t="shared" si="37"/>
        <v>380279.8547318948</v>
      </c>
      <c r="G615" s="33">
        <v>3575.4264961699273</v>
      </c>
      <c r="H615" s="13">
        <f t="shared" si="38"/>
        <v>178771.32480849637</v>
      </c>
      <c r="I615" s="13">
        <f t="shared" si="39"/>
        <v>-249720.14526810509</v>
      </c>
    </row>
    <row r="616" spans="1:9" x14ac:dyDescent="0.25">
      <c r="A616" s="33">
        <v>14953.886532181768</v>
      </c>
      <c r="B616">
        <f t="shared" si="36"/>
        <v>300000</v>
      </c>
      <c r="C616" s="13">
        <f t="shared" si="37"/>
        <v>546772.05725272384</v>
      </c>
      <c r="G616" s="33">
        <v>5953.8865321817684</v>
      </c>
      <c r="H616" s="13">
        <f t="shared" si="38"/>
        <v>297694.3266090884</v>
      </c>
      <c r="I616" s="13">
        <f t="shared" si="39"/>
        <v>-83227.942747276218</v>
      </c>
    </row>
    <row r="617" spans="1:9" x14ac:dyDescent="0.25">
      <c r="A617" s="33">
        <v>15037.202063051242</v>
      </c>
      <c r="B617">
        <f t="shared" si="36"/>
        <v>300000</v>
      </c>
      <c r="C617" s="13">
        <f t="shared" si="37"/>
        <v>550000</v>
      </c>
      <c r="G617" s="33">
        <v>6037.2020630512407</v>
      </c>
      <c r="H617" s="13">
        <f t="shared" si="38"/>
        <v>300000</v>
      </c>
      <c r="I617" s="13">
        <f t="shared" si="39"/>
        <v>-77395.855586413178</v>
      </c>
    </row>
    <row r="618" spans="1:9" x14ac:dyDescent="0.25">
      <c r="A618" s="33">
        <v>13373.180333872493</v>
      </c>
      <c r="B618">
        <f t="shared" si="36"/>
        <v>300000</v>
      </c>
      <c r="C618" s="13">
        <f t="shared" si="37"/>
        <v>436122.62337107456</v>
      </c>
      <c r="G618" s="33">
        <v>4373.180333872494</v>
      </c>
      <c r="H618" s="13">
        <f t="shared" si="38"/>
        <v>218659.0166936247</v>
      </c>
      <c r="I618" s="13">
        <f t="shared" si="39"/>
        <v>-193877.37662892544</v>
      </c>
    </row>
    <row r="619" spans="1:9" x14ac:dyDescent="0.25">
      <c r="A619" s="33">
        <v>14382.427442243721</v>
      </c>
      <c r="B619">
        <f t="shared" si="36"/>
        <v>300000</v>
      </c>
      <c r="C619" s="13">
        <f t="shared" si="37"/>
        <v>506769.92095706053</v>
      </c>
      <c r="G619" s="33">
        <v>5382.4274422437211</v>
      </c>
      <c r="H619" s="13">
        <f t="shared" si="38"/>
        <v>269121.37211218604</v>
      </c>
      <c r="I619" s="13">
        <f t="shared" si="39"/>
        <v>-123230.07904293953</v>
      </c>
    </row>
    <row r="620" spans="1:9" x14ac:dyDescent="0.25">
      <c r="A620" s="33">
        <v>15478.65230262154</v>
      </c>
      <c r="B620">
        <f t="shared" si="36"/>
        <v>300000</v>
      </c>
      <c r="C620" s="13">
        <f t="shared" si="37"/>
        <v>550000</v>
      </c>
      <c r="G620" s="33">
        <v>6478.65230262154</v>
      </c>
      <c r="H620" s="13">
        <f t="shared" si="38"/>
        <v>300000</v>
      </c>
      <c r="I620" s="13">
        <f t="shared" si="39"/>
        <v>-46494.338816492178</v>
      </c>
    </row>
    <row r="621" spans="1:9" x14ac:dyDescent="0.25">
      <c r="A621" s="33">
        <v>15792.99295022431</v>
      </c>
      <c r="B621">
        <f t="shared" si="36"/>
        <v>300000</v>
      </c>
      <c r="C621" s="13">
        <f t="shared" si="37"/>
        <v>550000</v>
      </c>
      <c r="G621" s="33">
        <v>6792.9929502243103</v>
      </c>
      <c r="H621" s="13">
        <f t="shared" si="38"/>
        <v>300000</v>
      </c>
      <c r="I621" s="13">
        <f t="shared" si="39"/>
        <v>-24490.493484298291</v>
      </c>
    </row>
    <row r="622" spans="1:9" x14ac:dyDescent="0.25">
      <c r="A622" s="33">
        <v>13619.006927701652</v>
      </c>
      <c r="B622">
        <f t="shared" si="36"/>
        <v>300000</v>
      </c>
      <c r="C622" s="13">
        <f t="shared" si="37"/>
        <v>453330.48493911559</v>
      </c>
      <c r="G622" s="33">
        <v>4619.006927701651</v>
      </c>
      <c r="H622" s="13">
        <f t="shared" si="38"/>
        <v>230950.34638508255</v>
      </c>
      <c r="I622" s="13">
        <f t="shared" si="39"/>
        <v>-176669.51506088441</v>
      </c>
    </row>
    <row r="623" spans="1:9" x14ac:dyDescent="0.25">
      <c r="A623" s="33">
        <v>12600.146488845485</v>
      </c>
      <c r="B623">
        <f t="shared" si="36"/>
        <v>300000</v>
      </c>
      <c r="C623" s="13">
        <f t="shared" si="37"/>
        <v>382010.25421918393</v>
      </c>
      <c r="G623" s="33">
        <v>3600.1464888454848</v>
      </c>
      <c r="H623" s="13">
        <f t="shared" si="38"/>
        <v>180007.32444227423</v>
      </c>
      <c r="I623" s="13">
        <f t="shared" si="39"/>
        <v>-247989.74578081607</v>
      </c>
    </row>
    <row r="624" spans="1:9" x14ac:dyDescent="0.25">
      <c r="A624" s="33">
        <v>14476.271858882412</v>
      </c>
      <c r="B624">
        <f t="shared" si="36"/>
        <v>300000</v>
      </c>
      <c r="C624" s="13">
        <f t="shared" si="37"/>
        <v>513339.03012176882</v>
      </c>
      <c r="G624" s="33">
        <v>5476.2718588824118</v>
      </c>
      <c r="H624" s="13">
        <f t="shared" si="38"/>
        <v>273813.59294412058</v>
      </c>
      <c r="I624" s="13">
        <f t="shared" si="39"/>
        <v>-116660.96987823118</v>
      </c>
    </row>
    <row r="625" spans="1:9" x14ac:dyDescent="0.25">
      <c r="A625" s="33">
        <v>16293.038727988525</v>
      </c>
      <c r="B625">
        <f t="shared" si="36"/>
        <v>300000</v>
      </c>
      <c r="C625" s="13">
        <f t="shared" si="37"/>
        <v>550000</v>
      </c>
      <c r="G625" s="33">
        <v>7293.0387279885254</v>
      </c>
      <c r="H625" s="13">
        <f t="shared" si="38"/>
        <v>300000</v>
      </c>
      <c r="I625" s="13">
        <f t="shared" si="39"/>
        <v>10512.710959196789</v>
      </c>
    </row>
    <row r="626" spans="1:9" x14ac:dyDescent="0.25">
      <c r="A626" s="33">
        <v>14296.823023163548</v>
      </c>
      <c r="B626">
        <f t="shared" si="36"/>
        <v>300000</v>
      </c>
      <c r="C626" s="13">
        <f t="shared" si="37"/>
        <v>500777.6116214483</v>
      </c>
      <c r="G626" s="33">
        <v>5296.823023163548</v>
      </c>
      <c r="H626" s="13">
        <f t="shared" si="38"/>
        <v>264841.15115817741</v>
      </c>
      <c r="I626" s="13">
        <f t="shared" si="39"/>
        <v>-129222.38837855164</v>
      </c>
    </row>
    <row r="627" spans="1:9" x14ac:dyDescent="0.25">
      <c r="A627" s="33">
        <v>15058.56501968444</v>
      </c>
      <c r="B627">
        <f t="shared" si="36"/>
        <v>300000</v>
      </c>
      <c r="C627" s="13">
        <f t="shared" si="37"/>
        <v>550000</v>
      </c>
      <c r="G627" s="33">
        <v>6058.565019684439</v>
      </c>
      <c r="H627" s="13">
        <f t="shared" si="38"/>
        <v>300000</v>
      </c>
      <c r="I627" s="13">
        <f t="shared" si="39"/>
        <v>-75900.448622089287</v>
      </c>
    </row>
    <row r="628" spans="1:9" x14ac:dyDescent="0.25">
      <c r="A628" s="33">
        <v>15550.675984984893</v>
      </c>
      <c r="B628">
        <f t="shared" si="36"/>
        <v>300000</v>
      </c>
      <c r="C628" s="13">
        <f t="shared" si="37"/>
        <v>550000</v>
      </c>
      <c r="G628" s="33">
        <v>6550.6759849848931</v>
      </c>
      <c r="H628" s="13">
        <f t="shared" si="38"/>
        <v>300000</v>
      </c>
      <c r="I628" s="13">
        <f t="shared" si="39"/>
        <v>-41452.681051057472</v>
      </c>
    </row>
    <row r="629" spans="1:9" x14ac:dyDescent="0.25">
      <c r="A629" s="33">
        <v>16950.407422101503</v>
      </c>
      <c r="B629">
        <f t="shared" si="36"/>
        <v>300000</v>
      </c>
      <c r="C629" s="13">
        <f t="shared" si="37"/>
        <v>550000</v>
      </c>
      <c r="G629" s="33">
        <v>7950.4074221015044</v>
      </c>
      <c r="H629" s="13">
        <f t="shared" si="38"/>
        <v>300000</v>
      </c>
      <c r="I629" s="13">
        <f t="shared" si="39"/>
        <v>56528.519547105301</v>
      </c>
    </row>
    <row r="630" spans="1:9" x14ac:dyDescent="0.25">
      <c r="A630" s="33">
        <v>12998.413037507247</v>
      </c>
      <c r="B630">
        <f t="shared" si="36"/>
        <v>300000</v>
      </c>
      <c r="C630" s="13">
        <f t="shared" si="37"/>
        <v>409888.91262550734</v>
      </c>
      <c r="G630" s="33">
        <v>3998.4130375072482</v>
      </c>
      <c r="H630" s="13">
        <f t="shared" si="38"/>
        <v>199920.65187536241</v>
      </c>
      <c r="I630" s="13">
        <f t="shared" si="39"/>
        <v>-220111.08737449261</v>
      </c>
    </row>
    <row r="631" spans="1:9" x14ac:dyDescent="0.25">
      <c r="A631" s="33">
        <v>14989.135410626544</v>
      </c>
      <c r="B631">
        <f t="shared" si="36"/>
        <v>300000</v>
      </c>
      <c r="C631" s="13">
        <f t="shared" si="37"/>
        <v>549239.47874385817</v>
      </c>
      <c r="G631" s="33">
        <v>5989.1354106265444</v>
      </c>
      <c r="H631" s="13">
        <f t="shared" si="38"/>
        <v>299456.77053132723</v>
      </c>
      <c r="I631" s="13">
        <f t="shared" si="39"/>
        <v>-80760.521256141888</v>
      </c>
    </row>
    <row r="632" spans="1:9" x14ac:dyDescent="0.25">
      <c r="A632" s="33">
        <v>13481.521042512284</v>
      </c>
      <c r="B632">
        <f t="shared" si="36"/>
        <v>300000</v>
      </c>
      <c r="C632" s="13">
        <f t="shared" si="37"/>
        <v>443706.47297585988</v>
      </c>
      <c r="G632" s="33">
        <v>4481.5210425122841</v>
      </c>
      <c r="H632" s="13">
        <f t="shared" si="38"/>
        <v>224076.05212561419</v>
      </c>
      <c r="I632" s="13">
        <f t="shared" si="39"/>
        <v>-186293.52702414012</v>
      </c>
    </row>
    <row r="633" spans="1:9" x14ac:dyDescent="0.25">
      <c r="A633" s="33">
        <v>12499.588000122074</v>
      </c>
      <c r="B633">
        <f t="shared" si="36"/>
        <v>300000</v>
      </c>
      <c r="C633" s="13">
        <f t="shared" si="37"/>
        <v>374971.16000854515</v>
      </c>
      <c r="G633" s="33">
        <v>3499.5880001220739</v>
      </c>
      <c r="H633" s="13">
        <f t="shared" si="38"/>
        <v>174979.40000610371</v>
      </c>
      <c r="I633" s="13">
        <f t="shared" si="39"/>
        <v>-255028.83999145482</v>
      </c>
    </row>
    <row r="634" spans="1:9" x14ac:dyDescent="0.25">
      <c r="A634" s="33">
        <v>15795.58702352977</v>
      </c>
      <c r="B634">
        <f t="shared" si="36"/>
        <v>300000</v>
      </c>
      <c r="C634" s="13">
        <f t="shared" si="37"/>
        <v>550000</v>
      </c>
      <c r="G634" s="33">
        <v>6795.5870235297707</v>
      </c>
      <c r="H634" s="13">
        <f t="shared" si="38"/>
        <v>300000</v>
      </c>
      <c r="I634" s="13">
        <f t="shared" si="39"/>
        <v>-24308.908352916071</v>
      </c>
    </row>
    <row r="635" spans="1:9" x14ac:dyDescent="0.25">
      <c r="A635" s="33">
        <v>15850.672933133945</v>
      </c>
      <c r="B635">
        <f t="shared" si="36"/>
        <v>300000</v>
      </c>
      <c r="C635" s="13">
        <f t="shared" si="37"/>
        <v>550000</v>
      </c>
      <c r="G635" s="33">
        <v>6850.6729331339457</v>
      </c>
      <c r="H635" s="13">
        <f t="shared" si="38"/>
        <v>300000</v>
      </c>
      <c r="I635" s="13">
        <f t="shared" si="39"/>
        <v>-20452.89468062378</v>
      </c>
    </row>
    <row r="636" spans="1:9" x14ac:dyDescent="0.25">
      <c r="A636" s="33">
        <v>15375.804925687429</v>
      </c>
      <c r="B636">
        <f t="shared" si="36"/>
        <v>300000</v>
      </c>
      <c r="C636" s="13">
        <f t="shared" si="37"/>
        <v>550000</v>
      </c>
      <c r="G636" s="33">
        <v>6375.8049256874292</v>
      </c>
      <c r="H636" s="13">
        <f t="shared" si="38"/>
        <v>300000</v>
      </c>
      <c r="I636" s="13">
        <f t="shared" si="39"/>
        <v>-53693.65520187997</v>
      </c>
    </row>
    <row r="637" spans="1:9" x14ac:dyDescent="0.25">
      <c r="A637" s="33">
        <v>16671.62083803827</v>
      </c>
      <c r="B637">
        <f t="shared" si="36"/>
        <v>300000</v>
      </c>
      <c r="C637" s="13">
        <f t="shared" si="37"/>
        <v>550000</v>
      </c>
      <c r="G637" s="33">
        <v>7671.6208380382704</v>
      </c>
      <c r="H637" s="13">
        <f t="shared" si="38"/>
        <v>300000</v>
      </c>
      <c r="I637" s="13">
        <f t="shared" si="39"/>
        <v>37013.458662678953</v>
      </c>
    </row>
    <row r="638" spans="1:9" x14ac:dyDescent="0.25">
      <c r="A638" s="33">
        <v>13842.70760216071</v>
      </c>
      <c r="B638">
        <f t="shared" si="36"/>
        <v>300000</v>
      </c>
      <c r="C638" s="13">
        <f t="shared" si="37"/>
        <v>468989.5321512497</v>
      </c>
      <c r="G638" s="33">
        <v>4842.7076021607108</v>
      </c>
      <c r="H638" s="13">
        <f t="shared" si="38"/>
        <v>242135.38010803555</v>
      </c>
      <c r="I638" s="13">
        <f t="shared" si="39"/>
        <v>-161010.46784875024</v>
      </c>
    </row>
    <row r="639" spans="1:9" x14ac:dyDescent="0.25">
      <c r="A639" s="33">
        <v>14639.851069673758</v>
      </c>
      <c r="B639">
        <f t="shared" si="36"/>
        <v>300000</v>
      </c>
      <c r="C639" s="13">
        <f t="shared" si="37"/>
        <v>524789.57487716305</v>
      </c>
      <c r="G639" s="33">
        <v>5639.8510696737576</v>
      </c>
      <c r="H639" s="13">
        <f t="shared" si="38"/>
        <v>281992.55348368787</v>
      </c>
      <c r="I639" s="13">
        <f t="shared" si="39"/>
        <v>-105210.42512283695</v>
      </c>
    </row>
    <row r="640" spans="1:9" x14ac:dyDescent="0.25">
      <c r="A640" s="33">
        <v>16358.958708456679</v>
      </c>
      <c r="B640">
        <f t="shared" si="36"/>
        <v>300000</v>
      </c>
      <c r="C640" s="13">
        <f t="shared" si="37"/>
        <v>550000</v>
      </c>
      <c r="G640" s="33">
        <v>7358.9587084566792</v>
      </c>
      <c r="H640" s="13">
        <f t="shared" si="38"/>
        <v>300000</v>
      </c>
      <c r="I640" s="13">
        <f t="shared" si="39"/>
        <v>15127.109591967543</v>
      </c>
    </row>
    <row r="641" spans="1:9" x14ac:dyDescent="0.25">
      <c r="A641" s="33">
        <v>13242.255928220466</v>
      </c>
      <c r="B641">
        <f t="shared" si="36"/>
        <v>300000</v>
      </c>
      <c r="C641" s="13">
        <f t="shared" si="37"/>
        <v>426957.91497543256</v>
      </c>
      <c r="G641" s="33">
        <v>4242.2559282204656</v>
      </c>
      <c r="H641" s="13">
        <f t="shared" si="38"/>
        <v>212112.79641102327</v>
      </c>
      <c r="I641" s="13">
        <f t="shared" si="39"/>
        <v>-203042.08502456738</v>
      </c>
    </row>
    <row r="642" spans="1:9" x14ac:dyDescent="0.25">
      <c r="A642" s="33">
        <v>15852.351451155126</v>
      </c>
      <c r="B642">
        <f t="shared" si="36"/>
        <v>300000</v>
      </c>
      <c r="C642" s="13">
        <f t="shared" si="37"/>
        <v>550000</v>
      </c>
      <c r="G642" s="33">
        <v>6852.3514511551257</v>
      </c>
      <c r="H642" s="13">
        <f t="shared" si="38"/>
        <v>300000</v>
      </c>
      <c r="I642" s="13">
        <f t="shared" si="39"/>
        <v>-20335.398419141187</v>
      </c>
    </row>
    <row r="643" spans="1:9" x14ac:dyDescent="0.25">
      <c r="A643" s="33">
        <v>12595.110934781946</v>
      </c>
      <c r="B643">
        <f t="shared" si="36"/>
        <v>300000</v>
      </c>
      <c r="C643" s="13">
        <f t="shared" si="37"/>
        <v>381657.76543473615</v>
      </c>
      <c r="G643" s="33">
        <v>3595.1109347819452</v>
      </c>
      <c r="H643" s="13">
        <f t="shared" si="38"/>
        <v>179755.54673909725</v>
      </c>
      <c r="I643" s="13">
        <f t="shared" si="39"/>
        <v>-248342.23456526385</v>
      </c>
    </row>
    <row r="644" spans="1:9" x14ac:dyDescent="0.25">
      <c r="A644" s="33">
        <v>13088.90041810358</v>
      </c>
      <c r="B644">
        <f t="shared" si="36"/>
        <v>300000</v>
      </c>
      <c r="C644" s="13">
        <f t="shared" si="37"/>
        <v>416223.02926725056</v>
      </c>
      <c r="G644" s="33">
        <v>4088.9004181035798</v>
      </c>
      <c r="H644" s="13">
        <f t="shared" si="38"/>
        <v>204445.020905179</v>
      </c>
      <c r="I644" s="13">
        <f t="shared" si="39"/>
        <v>-213776.97073274944</v>
      </c>
    </row>
    <row r="645" spans="1:9" x14ac:dyDescent="0.25">
      <c r="A645" s="33">
        <v>13617.938779869992</v>
      </c>
      <c r="B645">
        <f t="shared" si="36"/>
        <v>300000</v>
      </c>
      <c r="C645" s="13">
        <f t="shared" si="37"/>
        <v>453255.71459089941</v>
      </c>
      <c r="G645" s="33">
        <v>4617.9387798699918</v>
      </c>
      <c r="H645" s="13">
        <f t="shared" si="38"/>
        <v>230896.93899349959</v>
      </c>
      <c r="I645" s="13">
        <f t="shared" si="39"/>
        <v>-176744.28540910059</v>
      </c>
    </row>
    <row r="646" spans="1:9" x14ac:dyDescent="0.25">
      <c r="A646" s="33">
        <v>15968.321787163915</v>
      </c>
      <c r="B646">
        <f t="shared" si="36"/>
        <v>300000</v>
      </c>
      <c r="C646" s="13">
        <f t="shared" si="37"/>
        <v>550000</v>
      </c>
      <c r="G646" s="33">
        <v>6968.3217871639154</v>
      </c>
      <c r="H646" s="13">
        <f t="shared" si="38"/>
        <v>300000</v>
      </c>
      <c r="I646" s="13">
        <f t="shared" si="39"/>
        <v>-12217.474898525921</v>
      </c>
    </row>
    <row r="647" spans="1:9" x14ac:dyDescent="0.25">
      <c r="A647" s="33">
        <v>14699.819940794092</v>
      </c>
      <c r="B647">
        <f t="shared" si="36"/>
        <v>300000</v>
      </c>
      <c r="C647" s="13">
        <f t="shared" si="37"/>
        <v>528987.39585558639</v>
      </c>
      <c r="G647" s="33">
        <v>5699.819940794092</v>
      </c>
      <c r="H647" s="13">
        <f t="shared" si="38"/>
        <v>284990.99703970458</v>
      </c>
      <c r="I647" s="13">
        <f t="shared" si="39"/>
        <v>-101012.60414441355</v>
      </c>
    </row>
    <row r="648" spans="1:9" x14ac:dyDescent="0.25">
      <c r="A648" s="33">
        <v>15872.951445051423</v>
      </c>
      <c r="B648">
        <f t="shared" si="36"/>
        <v>300000</v>
      </c>
      <c r="C648" s="13">
        <f t="shared" si="37"/>
        <v>550000</v>
      </c>
      <c r="G648" s="33">
        <v>6872.9514450514234</v>
      </c>
      <c r="H648" s="13">
        <f t="shared" si="38"/>
        <v>300000</v>
      </c>
      <c r="I648" s="13">
        <f t="shared" si="39"/>
        <v>-18893.398846400378</v>
      </c>
    </row>
    <row r="649" spans="1:9" x14ac:dyDescent="0.25">
      <c r="A649" s="33">
        <v>13607.257301553393</v>
      </c>
      <c r="B649">
        <f t="shared" si="36"/>
        <v>300000</v>
      </c>
      <c r="C649" s="13">
        <f t="shared" si="37"/>
        <v>452508.01110873744</v>
      </c>
      <c r="G649" s="33">
        <v>4607.2573015533926</v>
      </c>
      <c r="H649" s="13">
        <f t="shared" si="38"/>
        <v>230362.86507766962</v>
      </c>
      <c r="I649" s="13">
        <f t="shared" si="39"/>
        <v>-177491.9888912625</v>
      </c>
    </row>
    <row r="650" spans="1:9" x14ac:dyDescent="0.25">
      <c r="A650" s="33">
        <v>14071.74901577807</v>
      </c>
      <c r="B650">
        <f t="shared" si="36"/>
        <v>300000</v>
      </c>
      <c r="C650" s="13">
        <f t="shared" si="37"/>
        <v>485022.43110446492</v>
      </c>
      <c r="G650" s="33">
        <v>5071.7490157780694</v>
      </c>
      <c r="H650" s="13">
        <f t="shared" si="38"/>
        <v>253587.45078890346</v>
      </c>
      <c r="I650" s="13">
        <f t="shared" si="39"/>
        <v>-144977.56889553514</v>
      </c>
    </row>
    <row r="651" spans="1:9" x14ac:dyDescent="0.25">
      <c r="A651" s="33">
        <v>16888.607440412612</v>
      </c>
      <c r="B651">
        <f t="shared" ref="B651:B714" si="40">MIN(A651,6000)*50</f>
        <v>300000</v>
      </c>
      <c r="C651" s="13">
        <f t="shared" ref="C651:C714" si="41">MIN(A651,$C$3)*$C$6-500000</f>
        <v>550000</v>
      </c>
      <c r="G651" s="33">
        <v>7888.6074404126102</v>
      </c>
      <c r="H651" s="13">
        <f t="shared" ref="H651:H714" si="42">MIN(G651,6000)*50</f>
        <v>300000</v>
      </c>
      <c r="I651" s="13">
        <f t="shared" ref="I651:I714" si="43">MIN(G651,15000)*70-500000</f>
        <v>52202.520828882698</v>
      </c>
    </row>
    <row r="652" spans="1:9" x14ac:dyDescent="0.25">
      <c r="A652" s="33">
        <v>12670.339060640279</v>
      </c>
      <c r="B652">
        <f t="shared" si="40"/>
        <v>300000</v>
      </c>
      <c r="C652" s="13">
        <f t="shared" si="41"/>
        <v>386923.7342448195</v>
      </c>
      <c r="G652" s="33">
        <v>3670.3390606402781</v>
      </c>
      <c r="H652" s="13">
        <f t="shared" si="42"/>
        <v>183516.9530320139</v>
      </c>
      <c r="I652" s="13">
        <f t="shared" si="43"/>
        <v>-243076.26575518053</v>
      </c>
    </row>
    <row r="653" spans="1:9" x14ac:dyDescent="0.25">
      <c r="A653" s="33">
        <v>14540.208136234625</v>
      </c>
      <c r="B653">
        <f t="shared" si="40"/>
        <v>300000</v>
      </c>
      <c r="C653" s="13">
        <f t="shared" si="41"/>
        <v>517814.56953642378</v>
      </c>
      <c r="G653" s="33">
        <v>5540.2081362346262</v>
      </c>
      <c r="H653" s="13">
        <f t="shared" si="42"/>
        <v>277010.40681173129</v>
      </c>
      <c r="I653" s="13">
        <f t="shared" si="43"/>
        <v>-112185.43046357617</v>
      </c>
    </row>
    <row r="654" spans="1:9" x14ac:dyDescent="0.25">
      <c r="A654" s="33">
        <v>13049.989318521682</v>
      </c>
      <c r="B654">
        <f t="shared" si="40"/>
        <v>300000</v>
      </c>
      <c r="C654" s="13">
        <f t="shared" si="41"/>
        <v>413499.25229651772</v>
      </c>
      <c r="G654" s="33">
        <v>4049.9893185216833</v>
      </c>
      <c r="H654" s="13">
        <f t="shared" si="42"/>
        <v>202499.46592608417</v>
      </c>
      <c r="I654" s="13">
        <f t="shared" si="43"/>
        <v>-216500.74770348216</v>
      </c>
    </row>
    <row r="655" spans="1:9" x14ac:dyDescent="0.25">
      <c r="A655" s="33">
        <v>12367.442854091007</v>
      </c>
      <c r="B655">
        <f t="shared" si="40"/>
        <v>300000</v>
      </c>
      <c r="C655" s="13">
        <f t="shared" si="41"/>
        <v>365720.99978637043</v>
      </c>
      <c r="G655" s="33">
        <v>3367.4428540910062</v>
      </c>
      <c r="H655" s="13">
        <f t="shared" si="42"/>
        <v>168372.14270455032</v>
      </c>
      <c r="I655" s="13">
        <f t="shared" si="43"/>
        <v>-264279.00021362957</v>
      </c>
    </row>
    <row r="656" spans="1:9" x14ac:dyDescent="0.25">
      <c r="A656" s="33">
        <v>15760.032959990234</v>
      </c>
      <c r="B656">
        <f t="shared" si="40"/>
        <v>300000</v>
      </c>
      <c r="C656" s="13">
        <f t="shared" si="41"/>
        <v>550000</v>
      </c>
      <c r="G656" s="33">
        <v>6760.0329599902343</v>
      </c>
      <c r="H656" s="13">
        <f t="shared" si="42"/>
        <v>300000</v>
      </c>
      <c r="I656" s="13">
        <f t="shared" si="43"/>
        <v>-26797.69280068361</v>
      </c>
    </row>
    <row r="657" spans="1:9" x14ac:dyDescent="0.25">
      <c r="A657" s="33">
        <v>16388.866847743157</v>
      </c>
      <c r="B657">
        <f t="shared" si="40"/>
        <v>300000</v>
      </c>
      <c r="C657" s="13">
        <f t="shared" si="41"/>
        <v>550000</v>
      </c>
      <c r="G657" s="33">
        <v>7388.8668477431565</v>
      </c>
      <c r="H657" s="13">
        <f t="shared" si="42"/>
        <v>300000</v>
      </c>
      <c r="I657" s="13">
        <f t="shared" si="43"/>
        <v>17220.679342020943</v>
      </c>
    </row>
    <row r="658" spans="1:9" x14ac:dyDescent="0.25">
      <c r="A658" s="33">
        <v>15059.022797326579</v>
      </c>
      <c r="B658">
        <f t="shared" si="40"/>
        <v>300000</v>
      </c>
      <c r="C658" s="13">
        <f t="shared" si="41"/>
        <v>550000</v>
      </c>
      <c r="G658" s="33">
        <v>6059.0227973265792</v>
      </c>
      <c r="H658" s="13">
        <f t="shared" si="42"/>
        <v>300000</v>
      </c>
      <c r="I658" s="13">
        <f t="shared" si="43"/>
        <v>-75868.404187139473</v>
      </c>
    </row>
    <row r="659" spans="1:9" x14ac:dyDescent="0.25">
      <c r="A659" s="33">
        <v>15950.163274025697</v>
      </c>
      <c r="B659">
        <f t="shared" si="40"/>
        <v>300000</v>
      </c>
      <c r="C659" s="13">
        <f t="shared" si="41"/>
        <v>550000</v>
      </c>
      <c r="G659" s="33">
        <v>6950.1632740256964</v>
      </c>
      <c r="H659" s="13">
        <f t="shared" si="42"/>
        <v>300000</v>
      </c>
      <c r="I659" s="13">
        <f t="shared" si="43"/>
        <v>-13488.570818201231</v>
      </c>
    </row>
    <row r="660" spans="1:9" x14ac:dyDescent="0.25">
      <c r="A660" s="33">
        <v>14356.028931546984</v>
      </c>
      <c r="B660">
        <f t="shared" si="40"/>
        <v>300000</v>
      </c>
      <c r="C660" s="13">
        <f t="shared" si="41"/>
        <v>504922.0252082888</v>
      </c>
      <c r="G660" s="33">
        <v>5356.0289315469836</v>
      </c>
      <c r="H660" s="13">
        <f t="shared" si="42"/>
        <v>267801.44657734915</v>
      </c>
      <c r="I660" s="13">
        <f t="shared" si="43"/>
        <v>-125077.97479171114</v>
      </c>
    </row>
    <row r="661" spans="1:9" x14ac:dyDescent="0.25">
      <c r="A661" s="33">
        <v>13046.632282479324</v>
      </c>
      <c r="B661">
        <f t="shared" si="40"/>
        <v>300000</v>
      </c>
      <c r="C661" s="13">
        <f t="shared" si="41"/>
        <v>413264.25977355265</v>
      </c>
      <c r="G661" s="33">
        <v>4046.6322824793237</v>
      </c>
      <c r="H661" s="13">
        <f t="shared" si="42"/>
        <v>202331.6141239662</v>
      </c>
      <c r="I661" s="13">
        <f t="shared" si="43"/>
        <v>-216735.74022644735</v>
      </c>
    </row>
    <row r="662" spans="1:9" x14ac:dyDescent="0.25">
      <c r="A662" s="33">
        <v>16312.112796411024</v>
      </c>
      <c r="B662">
        <f t="shared" si="40"/>
        <v>300000</v>
      </c>
      <c r="C662" s="13">
        <f t="shared" si="41"/>
        <v>550000</v>
      </c>
      <c r="G662" s="33">
        <v>7312.1127964110237</v>
      </c>
      <c r="H662" s="13">
        <f t="shared" si="42"/>
        <v>300000</v>
      </c>
      <c r="I662" s="13">
        <f t="shared" si="43"/>
        <v>11847.895748771669</v>
      </c>
    </row>
    <row r="663" spans="1:9" x14ac:dyDescent="0.25">
      <c r="A663" s="33">
        <v>12818.048646504105</v>
      </c>
      <c r="B663">
        <f t="shared" si="40"/>
        <v>300000</v>
      </c>
      <c r="C663" s="13">
        <f t="shared" si="41"/>
        <v>397263.4052552873</v>
      </c>
      <c r="G663" s="33">
        <v>3818.0486465041049</v>
      </c>
      <c r="H663" s="13">
        <f t="shared" si="42"/>
        <v>190902.43232520524</v>
      </c>
      <c r="I663" s="13">
        <f t="shared" si="43"/>
        <v>-232736.59474471264</v>
      </c>
    </row>
    <row r="664" spans="1:9" x14ac:dyDescent="0.25">
      <c r="A664" s="33">
        <v>13951.50608844264</v>
      </c>
      <c r="B664">
        <f t="shared" si="40"/>
        <v>300000</v>
      </c>
      <c r="C664" s="13">
        <f t="shared" si="41"/>
        <v>476605.42619098478</v>
      </c>
      <c r="G664" s="33">
        <v>4951.5060884426402</v>
      </c>
      <c r="H664" s="13">
        <f t="shared" si="42"/>
        <v>247575.304422132</v>
      </c>
      <c r="I664" s="13">
        <f t="shared" si="43"/>
        <v>-153394.57380901516</v>
      </c>
    </row>
    <row r="665" spans="1:9" x14ac:dyDescent="0.25">
      <c r="A665" s="33">
        <v>12421.460615863522</v>
      </c>
      <c r="B665">
        <f t="shared" si="40"/>
        <v>300000</v>
      </c>
      <c r="C665" s="13">
        <f t="shared" si="41"/>
        <v>369502.24311044649</v>
      </c>
      <c r="G665" s="33">
        <v>3421.4606158635211</v>
      </c>
      <c r="H665" s="13">
        <f t="shared" si="42"/>
        <v>171073.03079317606</v>
      </c>
      <c r="I665" s="13">
        <f t="shared" si="43"/>
        <v>-260497.75688955354</v>
      </c>
    </row>
    <row r="666" spans="1:9" x14ac:dyDescent="0.25">
      <c r="A666" s="33">
        <v>12423.902096621601</v>
      </c>
      <c r="B666">
        <f t="shared" si="40"/>
        <v>300000</v>
      </c>
      <c r="C666" s="13">
        <f t="shared" si="41"/>
        <v>369673.14676351205</v>
      </c>
      <c r="G666" s="33">
        <v>3423.9020966216012</v>
      </c>
      <c r="H666" s="13">
        <f t="shared" si="42"/>
        <v>171195.10483108007</v>
      </c>
      <c r="I666" s="13">
        <f t="shared" si="43"/>
        <v>-260326.85323648792</v>
      </c>
    </row>
    <row r="667" spans="1:9" x14ac:dyDescent="0.25">
      <c r="A667" s="33">
        <v>15611.255226294748</v>
      </c>
      <c r="B667">
        <f t="shared" si="40"/>
        <v>300000</v>
      </c>
      <c r="C667" s="13">
        <f t="shared" si="41"/>
        <v>550000</v>
      </c>
      <c r="G667" s="33">
        <v>6611.2552262947484</v>
      </c>
      <c r="H667" s="13">
        <f t="shared" si="42"/>
        <v>300000</v>
      </c>
      <c r="I667" s="13">
        <f t="shared" si="43"/>
        <v>-37212.13415936759</v>
      </c>
    </row>
    <row r="668" spans="1:9" x14ac:dyDescent="0.25">
      <c r="A668" s="33">
        <v>15672.444837794123</v>
      </c>
      <c r="B668">
        <f t="shared" si="40"/>
        <v>300000</v>
      </c>
      <c r="C668" s="13">
        <f t="shared" si="41"/>
        <v>550000</v>
      </c>
      <c r="G668" s="33">
        <v>6672.4448377941226</v>
      </c>
      <c r="H668" s="13">
        <f t="shared" si="42"/>
        <v>300000</v>
      </c>
      <c r="I668" s="13">
        <f t="shared" si="43"/>
        <v>-32928.861354411405</v>
      </c>
    </row>
    <row r="669" spans="1:9" x14ac:dyDescent="0.25">
      <c r="A669" s="33">
        <v>16499.801629688405</v>
      </c>
      <c r="B669">
        <f t="shared" si="40"/>
        <v>300000</v>
      </c>
      <c r="C669" s="13">
        <f t="shared" si="41"/>
        <v>550000</v>
      </c>
      <c r="G669" s="33">
        <v>7499.8016296884061</v>
      </c>
      <c r="H669" s="13">
        <f t="shared" si="42"/>
        <v>300000</v>
      </c>
      <c r="I669" s="13">
        <f t="shared" si="43"/>
        <v>24986.114078188431</v>
      </c>
    </row>
    <row r="670" spans="1:9" x14ac:dyDescent="0.25">
      <c r="A670" s="33">
        <v>13844.386120181891</v>
      </c>
      <c r="B670">
        <f t="shared" si="40"/>
        <v>300000</v>
      </c>
      <c r="C670" s="13">
        <f t="shared" si="41"/>
        <v>469107.02841273241</v>
      </c>
      <c r="G670" s="33">
        <v>4844.3861201818909</v>
      </c>
      <c r="H670" s="13">
        <f t="shared" si="42"/>
        <v>242219.30600909455</v>
      </c>
      <c r="I670" s="13">
        <f t="shared" si="43"/>
        <v>-160892.97158726765</v>
      </c>
    </row>
    <row r="671" spans="1:9" x14ac:dyDescent="0.25">
      <c r="A671" s="33">
        <v>16254.585406048769</v>
      </c>
      <c r="B671">
        <f t="shared" si="40"/>
        <v>300000</v>
      </c>
      <c r="C671" s="13">
        <f t="shared" si="41"/>
        <v>550000</v>
      </c>
      <c r="G671" s="33">
        <v>7254.5854060487691</v>
      </c>
      <c r="H671" s="13">
        <f t="shared" si="42"/>
        <v>300000</v>
      </c>
      <c r="I671" s="13">
        <f t="shared" si="43"/>
        <v>7820.9784234138206</v>
      </c>
    </row>
    <row r="672" spans="1:9" x14ac:dyDescent="0.25">
      <c r="A672" s="33">
        <v>16421.826837977234</v>
      </c>
      <c r="B672">
        <f t="shared" si="40"/>
        <v>300000</v>
      </c>
      <c r="C672" s="13">
        <f t="shared" si="41"/>
        <v>550000</v>
      </c>
      <c r="G672" s="33">
        <v>7421.8268379772326</v>
      </c>
      <c r="H672" s="13">
        <f t="shared" si="42"/>
        <v>300000</v>
      </c>
      <c r="I672" s="13">
        <f t="shared" si="43"/>
        <v>19527.878658406262</v>
      </c>
    </row>
    <row r="673" spans="1:9" x14ac:dyDescent="0.25">
      <c r="A673" s="33">
        <v>14037.110507522813</v>
      </c>
      <c r="B673">
        <f t="shared" si="40"/>
        <v>300000</v>
      </c>
      <c r="C673" s="13">
        <f t="shared" si="41"/>
        <v>482597.73552659689</v>
      </c>
      <c r="G673" s="33">
        <v>5037.1105075228124</v>
      </c>
      <c r="H673" s="13">
        <f t="shared" si="42"/>
        <v>251855.52537614063</v>
      </c>
      <c r="I673" s="13">
        <f t="shared" si="43"/>
        <v>-147402.26447340311</v>
      </c>
    </row>
    <row r="674" spans="1:9" x14ac:dyDescent="0.25">
      <c r="A674" s="33">
        <v>13409.497360148931</v>
      </c>
      <c r="B674">
        <f t="shared" si="40"/>
        <v>300000</v>
      </c>
      <c r="C674" s="13">
        <f t="shared" si="41"/>
        <v>438664.81521042518</v>
      </c>
      <c r="G674" s="33">
        <v>4409.4973601489301</v>
      </c>
      <c r="H674" s="13">
        <f t="shared" si="42"/>
        <v>220474.86800744649</v>
      </c>
      <c r="I674" s="13">
        <f t="shared" si="43"/>
        <v>-191335.18478957488</v>
      </c>
    </row>
    <row r="675" spans="1:9" x14ac:dyDescent="0.25">
      <c r="A675" s="33">
        <v>16427.472762230293</v>
      </c>
      <c r="B675">
        <f t="shared" si="40"/>
        <v>300000</v>
      </c>
      <c r="C675" s="13">
        <f t="shared" si="41"/>
        <v>550000</v>
      </c>
      <c r="G675" s="33">
        <v>7427.4727622302926</v>
      </c>
      <c r="H675" s="13">
        <f t="shared" si="42"/>
        <v>300000</v>
      </c>
      <c r="I675" s="13">
        <f t="shared" si="43"/>
        <v>19923.093356120458</v>
      </c>
    </row>
    <row r="676" spans="1:9" x14ac:dyDescent="0.25">
      <c r="A676" s="33">
        <v>13096.83523056734</v>
      </c>
      <c r="B676">
        <f t="shared" si="40"/>
        <v>300000</v>
      </c>
      <c r="C676" s="13">
        <f t="shared" si="41"/>
        <v>416778.46613971377</v>
      </c>
      <c r="G676" s="33">
        <v>4096.8352305673388</v>
      </c>
      <c r="H676" s="13">
        <f t="shared" si="42"/>
        <v>204841.76152836694</v>
      </c>
      <c r="I676" s="13">
        <f t="shared" si="43"/>
        <v>-213221.53386028629</v>
      </c>
    </row>
    <row r="677" spans="1:9" x14ac:dyDescent="0.25">
      <c r="A677" s="33">
        <v>16033.63139744255</v>
      </c>
      <c r="B677">
        <f t="shared" si="40"/>
        <v>300000</v>
      </c>
      <c r="C677" s="13">
        <f t="shared" si="41"/>
        <v>550000</v>
      </c>
      <c r="G677" s="33">
        <v>7033.6313974425493</v>
      </c>
      <c r="H677" s="13">
        <f t="shared" si="42"/>
        <v>300000</v>
      </c>
      <c r="I677" s="13">
        <f t="shared" si="43"/>
        <v>-7645.802179021528</v>
      </c>
    </row>
    <row r="678" spans="1:9" x14ac:dyDescent="0.25">
      <c r="A678" s="33">
        <v>15544.267097994933</v>
      </c>
      <c r="B678">
        <f t="shared" si="40"/>
        <v>300000</v>
      </c>
      <c r="C678" s="13">
        <f t="shared" si="41"/>
        <v>550000</v>
      </c>
      <c r="G678" s="33">
        <v>6544.2670979949335</v>
      </c>
      <c r="H678" s="13">
        <f t="shared" si="42"/>
        <v>300000</v>
      </c>
      <c r="I678" s="13">
        <f t="shared" si="43"/>
        <v>-41901.303140354634</v>
      </c>
    </row>
    <row r="679" spans="1:9" x14ac:dyDescent="0.25">
      <c r="A679" s="33">
        <v>13082.338938566241</v>
      </c>
      <c r="B679">
        <f t="shared" si="40"/>
        <v>300000</v>
      </c>
      <c r="C679" s="13">
        <f t="shared" si="41"/>
        <v>415763.72569963685</v>
      </c>
      <c r="G679" s="33">
        <v>4082.3389385662404</v>
      </c>
      <c r="H679" s="13">
        <f t="shared" si="42"/>
        <v>204116.94692831201</v>
      </c>
      <c r="I679" s="13">
        <f t="shared" si="43"/>
        <v>-214236.27430036315</v>
      </c>
    </row>
    <row r="680" spans="1:9" x14ac:dyDescent="0.25">
      <c r="A680" s="33">
        <v>16659.871211890011</v>
      </c>
      <c r="B680">
        <f t="shared" si="40"/>
        <v>300000</v>
      </c>
      <c r="C680" s="13">
        <f t="shared" si="41"/>
        <v>550000</v>
      </c>
      <c r="G680" s="33">
        <v>7659.8712118900112</v>
      </c>
      <c r="H680" s="13">
        <f t="shared" si="42"/>
        <v>300000</v>
      </c>
      <c r="I680" s="13">
        <f t="shared" si="43"/>
        <v>36190.984832300805</v>
      </c>
    </row>
    <row r="681" spans="1:9" x14ac:dyDescent="0.25">
      <c r="A681" s="33">
        <v>16646.595660267951</v>
      </c>
      <c r="B681">
        <f t="shared" si="40"/>
        <v>300000</v>
      </c>
      <c r="C681" s="13">
        <f t="shared" si="41"/>
        <v>550000</v>
      </c>
      <c r="G681" s="33">
        <v>7646.5956602679526</v>
      </c>
      <c r="H681" s="13">
        <f t="shared" si="42"/>
        <v>300000</v>
      </c>
      <c r="I681" s="13">
        <f t="shared" si="43"/>
        <v>35261.696218756726</v>
      </c>
    </row>
    <row r="682" spans="1:9" x14ac:dyDescent="0.25">
      <c r="A682" s="33">
        <v>14146.214178899503</v>
      </c>
      <c r="B682">
        <f t="shared" si="40"/>
        <v>300000</v>
      </c>
      <c r="C682" s="13">
        <f t="shared" si="41"/>
        <v>490234.99252296519</v>
      </c>
      <c r="G682" s="33">
        <v>5146.2141788995032</v>
      </c>
      <c r="H682" s="13">
        <f t="shared" si="42"/>
        <v>257310.70894497517</v>
      </c>
      <c r="I682" s="13">
        <f t="shared" si="43"/>
        <v>-139765.00747703476</v>
      </c>
    </row>
    <row r="683" spans="1:9" x14ac:dyDescent="0.25">
      <c r="A683" s="33">
        <v>12917.386394848476</v>
      </c>
      <c r="B683">
        <f t="shared" si="40"/>
        <v>300000</v>
      </c>
      <c r="C683" s="13">
        <f t="shared" si="41"/>
        <v>404217.04763939336</v>
      </c>
      <c r="G683" s="33">
        <v>3917.3863948484754</v>
      </c>
      <c r="H683" s="13">
        <f t="shared" si="42"/>
        <v>195869.31974242377</v>
      </c>
      <c r="I683" s="13">
        <f t="shared" si="43"/>
        <v>-225782.95236060669</v>
      </c>
    </row>
    <row r="684" spans="1:9" x14ac:dyDescent="0.25">
      <c r="A684" s="33">
        <v>14342.448194830165</v>
      </c>
      <c r="B684">
        <f t="shared" si="40"/>
        <v>300000</v>
      </c>
      <c r="C684" s="13">
        <f t="shared" si="41"/>
        <v>503971.37363811163</v>
      </c>
      <c r="G684" s="33">
        <v>5342.4481948301645</v>
      </c>
      <c r="H684" s="13">
        <f t="shared" si="42"/>
        <v>267122.40974150825</v>
      </c>
      <c r="I684" s="13">
        <f t="shared" si="43"/>
        <v>-126028.62636188848</v>
      </c>
    </row>
    <row r="685" spans="1:9" x14ac:dyDescent="0.25">
      <c r="A685" s="33">
        <v>14699.972533341472</v>
      </c>
      <c r="B685">
        <f t="shared" si="40"/>
        <v>300000</v>
      </c>
      <c r="C685" s="13">
        <f t="shared" si="41"/>
        <v>528998.07733390306</v>
      </c>
      <c r="G685" s="33">
        <v>5699.9725333414717</v>
      </c>
      <c r="H685" s="13">
        <f t="shared" si="42"/>
        <v>284998.62666707358</v>
      </c>
      <c r="I685" s="13">
        <f t="shared" si="43"/>
        <v>-101001.922666097</v>
      </c>
    </row>
    <row r="686" spans="1:9" x14ac:dyDescent="0.25">
      <c r="A686" s="33">
        <v>13682.485427411724</v>
      </c>
      <c r="B686">
        <f t="shared" si="40"/>
        <v>300000</v>
      </c>
      <c r="C686" s="13">
        <f t="shared" si="41"/>
        <v>457773.97991882067</v>
      </c>
      <c r="G686" s="33">
        <v>4682.4854274117251</v>
      </c>
      <c r="H686" s="13">
        <f t="shared" si="42"/>
        <v>234124.27137058627</v>
      </c>
      <c r="I686" s="13">
        <f t="shared" si="43"/>
        <v>-172226.02008117922</v>
      </c>
    </row>
    <row r="687" spans="1:9" x14ac:dyDescent="0.25">
      <c r="A687" s="33">
        <v>12211.645863216041</v>
      </c>
      <c r="B687">
        <f t="shared" si="40"/>
        <v>300000</v>
      </c>
      <c r="C687" s="13">
        <f t="shared" si="41"/>
        <v>354815.21042512287</v>
      </c>
      <c r="G687" s="33">
        <v>3211.6458632160407</v>
      </c>
      <c r="H687" s="13">
        <f t="shared" si="42"/>
        <v>160582.29316080204</v>
      </c>
      <c r="I687" s="13">
        <f t="shared" si="43"/>
        <v>-275184.78957487713</v>
      </c>
    </row>
    <row r="688" spans="1:9" x14ac:dyDescent="0.25">
      <c r="A688" s="33">
        <v>15767.967772453994</v>
      </c>
      <c r="B688">
        <f t="shared" si="40"/>
        <v>300000</v>
      </c>
      <c r="C688" s="13">
        <f t="shared" si="41"/>
        <v>550000</v>
      </c>
      <c r="G688" s="33">
        <v>6767.9677724539933</v>
      </c>
      <c r="H688" s="13">
        <f t="shared" si="42"/>
        <v>300000</v>
      </c>
      <c r="I688" s="13">
        <f t="shared" si="43"/>
        <v>-26242.25592822046</v>
      </c>
    </row>
    <row r="689" spans="1:9" x14ac:dyDescent="0.25">
      <c r="A689" s="33">
        <v>13446.729941709647</v>
      </c>
      <c r="B689">
        <f t="shared" si="40"/>
        <v>300000</v>
      </c>
      <c r="C689" s="13">
        <f t="shared" si="41"/>
        <v>441271.09591967531</v>
      </c>
      <c r="G689" s="33">
        <v>4446.7299417096474</v>
      </c>
      <c r="H689" s="13">
        <f t="shared" si="42"/>
        <v>222336.49708548238</v>
      </c>
      <c r="I689" s="13">
        <f t="shared" si="43"/>
        <v>-188728.90408032469</v>
      </c>
    </row>
    <row r="690" spans="1:9" x14ac:dyDescent="0.25">
      <c r="A690" s="33">
        <v>15530.838953825496</v>
      </c>
      <c r="B690">
        <f t="shared" si="40"/>
        <v>300000</v>
      </c>
      <c r="C690" s="13">
        <f t="shared" si="41"/>
        <v>550000</v>
      </c>
      <c r="G690" s="33">
        <v>6530.8389538254951</v>
      </c>
      <c r="H690" s="13">
        <f t="shared" si="42"/>
        <v>300000</v>
      </c>
      <c r="I690" s="13">
        <f t="shared" si="43"/>
        <v>-42841.273232215317</v>
      </c>
    </row>
    <row r="691" spans="1:9" x14ac:dyDescent="0.25">
      <c r="A691" s="33">
        <v>15926.511429181799</v>
      </c>
      <c r="B691">
        <f t="shared" si="40"/>
        <v>300000</v>
      </c>
      <c r="C691" s="13">
        <f t="shared" si="41"/>
        <v>550000</v>
      </c>
      <c r="G691" s="33">
        <v>6926.511429181799</v>
      </c>
      <c r="H691" s="13">
        <f t="shared" si="42"/>
        <v>300000</v>
      </c>
      <c r="I691" s="13">
        <f t="shared" si="43"/>
        <v>-15144.199957274075</v>
      </c>
    </row>
    <row r="692" spans="1:9" x14ac:dyDescent="0.25">
      <c r="A692" s="33">
        <v>16268.776512955108</v>
      </c>
      <c r="B692">
        <f t="shared" si="40"/>
        <v>300000</v>
      </c>
      <c r="C692" s="13">
        <f t="shared" si="41"/>
        <v>550000</v>
      </c>
      <c r="G692" s="33">
        <v>7268.7765129551071</v>
      </c>
      <c r="H692" s="13">
        <f t="shared" si="42"/>
        <v>300000</v>
      </c>
      <c r="I692" s="13">
        <f t="shared" si="43"/>
        <v>8814.3559068575269</v>
      </c>
    </row>
    <row r="693" spans="1:9" x14ac:dyDescent="0.25">
      <c r="A693" s="33">
        <v>13737.26615192114</v>
      </c>
      <c r="B693">
        <f t="shared" si="40"/>
        <v>300000</v>
      </c>
      <c r="C693" s="13">
        <f t="shared" si="41"/>
        <v>461608.63063447981</v>
      </c>
      <c r="G693" s="33">
        <v>4737.2661519211397</v>
      </c>
      <c r="H693" s="13">
        <f t="shared" si="42"/>
        <v>236863.30759605698</v>
      </c>
      <c r="I693" s="13">
        <f t="shared" si="43"/>
        <v>-168391.36936552019</v>
      </c>
    </row>
    <row r="694" spans="1:9" x14ac:dyDescent="0.25">
      <c r="A694" s="33">
        <v>14095.248268074587</v>
      </c>
      <c r="B694">
        <f t="shared" si="40"/>
        <v>300000</v>
      </c>
      <c r="C694" s="13">
        <f t="shared" si="41"/>
        <v>486667.3787652211</v>
      </c>
      <c r="G694" s="33">
        <v>5095.248268074587</v>
      </c>
      <c r="H694" s="13">
        <f t="shared" si="42"/>
        <v>254762.41340372936</v>
      </c>
      <c r="I694" s="13">
        <f t="shared" si="43"/>
        <v>-143332.6212347789</v>
      </c>
    </row>
    <row r="695" spans="1:9" x14ac:dyDescent="0.25">
      <c r="A695" s="33">
        <v>12482.192449720756</v>
      </c>
      <c r="B695">
        <f t="shared" si="40"/>
        <v>300000</v>
      </c>
      <c r="C695" s="13">
        <f t="shared" si="41"/>
        <v>373753.47148045292</v>
      </c>
      <c r="G695" s="33">
        <v>3482.1924497207556</v>
      </c>
      <c r="H695" s="13">
        <f t="shared" si="42"/>
        <v>174109.62248603778</v>
      </c>
      <c r="I695" s="13">
        <f t="shared" si="43"/>
        <v>-256246.52851954711</v>
      </c>
    </row>
    <row r="696" spans="1:9" x14ac:dyDescent="0.25">
      <c r="A696" s="33">
        <v>13183.96557512131</v>
      </c>
      <c r="B696">
        <f t="shared" si="40"/>
        <v>300000</v>
      </c>
      <c r="C696" s="13">
        <f t="shared" si="41"/>
        <v>422877.59025849169</v>
      </c>
      <c r="G696" s="33">
        <v>4183.9655751213113</v>
      </c>
      <c r="H696" s="13">
        <f t="shared" si="42"/>
        <v>209198.27875606556</v>
      </c>
      <c r="I696" s="13">
        <f t="shared" si="43"/>
        <v>-207122.40974150819</v>
      </c>
    </row>
    <row r="697" spans="1:9" x14ac:dyDescent="0.25">
      <c r="A697" s="33">
        <v>13253.547776726584</v>
      </c>
      <c r="B697">
        <f t="shared" si="40"/>
        <v>300000</v>
      </c>
      <c r="C697" s="13">
        <f t="shared" si="41"/>
        <v>427748.34437086084</v>
      </c>
      <c r="G697" s="33">
        <v>4253.5477767265847</v>
      </c>
      <c r="H697" s="13">
        <f t="shared" si="42"/>
        <v>212677.38883632925</v>
      </c>
      <c r="I697" s="13">
        <f t="shared" si="43"/>
        <v>-202251.65562913904</v>
      </c>
    </row>
    <row r="698" spans="1:9" x14ac:dyDescent="0.25">
      <c r="A698" s="33">
        <v>14730.033265175329</v>
      </c>
      <c r="B698">
        <f t="shared" si="40"/>
        <v>300000</v>
      </c>
      <c r="C698" s="13">
        <f t="shared" si="41"/>
        <v>531102.32856227306</v>
      </c>
      <c r="G698" s="33">
        <v>5730.0332651753288</v>
      </c>
      <c r="H698" s="13">
        <f t="shared" si="42"/>
        <v>286501.66325876646</v>
      </c>
      <c r="I698" s="13">
        <f t="shared" si="43"/>
        <v>-98897.671437726996</v>
      </c>
    </row>
    <row r="699" spans="1:9" x14ac:dyDescent="0.25">
      <c r="A699" s="33">
        <v>13113.925595873898</v>
      </c>
      <c r="B699">
        <f t="shared" si="40"/>
        <v>300000</v>
      </c>
      <c r="C699" s="13">
        <f t="shared" si="41"/>
        <v>417974.79171117279</v>
      </c>
      <c r="G699" s="33">
        <v>4113.9255958738977</v>
      </c>
      <c r="H699" s="13">
        <f t="shared" si="42"/>
        <v>205696.27979369488</v>
      </c>
      <c r="I699" s="13">
        <f t="shared" si="43"/>
        <v>-212025.20828882715</v>
      </c>
    </row>
    <row r="700" spans="1:9" x14ac:dyDescent="0.25">
      <c r="A700" s="33">
        <v>13416.211432233649</v>
      </c>
      <c r="B700">
        <f t="shared" si="40"/>
        <v>300000</v>
      </c>
      <c r="C700" s="13">
        <f t="shared" si="41"/>
        <v>439134.80025635543</v>
      </c>
      <c r="G700" s="33">
        <v>4416.2114322336492</v>
      </c>
      <c r="H700" s="13">
        <f t="shared" si="42"/>
        <v>220810.57161168248</v>
      </c>
      <c r="I700" s="13">
        <f t="shared" si="43"/>
        <v>-190865.19974364457</v>
      </c>
    </row>
    <row r="701" spans="1:9" x14ac:dyDescent="0.25">
      <c r="A701" s="33">
        <v>16964.751121555222</v>
      </c>
      <c r="B701">
        <f t="shared" si="40"/>
        <v>300000</v>
      </c>
      <c r="C701" s="13">
        <f t="shared" si="41"/>
        <v>550000</v>
      </c>
      <c r="G701" s="33">
        <v>7964.7511215552231</v>
      </c>
      <c r="H701" s="13">
        <f t="shared" si="42"/>
        <v>300000</v>
      </c>
      <c r="I701" s="13">
        <f t="shared" si="43"/>
        <v>57532.57850886567</v>
      </c>
    </row>
    <row r="702" spans="1:9" x14ac:dyDescent="0.25">
      <c r="A702" s="33">
        <v>12999.786370433669</v>
      </c>
      <c r="B702">
        <f t="shared" si="40"/>
        <v>300000</v>
      </c>
      <c r="C702" s="13">
        <f t="shared" si="41"/>
        <v>409985.04593035684</v>
      </c>
      <c r="G702" s="33">
        <v>3999.7863704336678</v>
      </c>
      <c r="H702" s="13">
        <f t="shared" si="42"/>
        <v>199989.3185216834</v>
      </c>
      <c r="I702" s="13">
        <f t="shared" si="43"/>
        <v>-220014.95406964328</v>
      </c>
    </row>
    <row r="703" spans="1:9" x14ac:dyDescent="0.25">
      <c r="A703" s="33">
        <v>12214.239936521501</v>
      </c>
      <c r="B703">
        <f t="shared" si="40"/>
        <v>300000</v>
      </c>
      <c r="C703" s="13">
        <f t="shared" si="41"/>
        <v>354996.79555650509</v>
      </c>
      <c r="G703" s="33">
        <v>3214.2399365215001</v>
      </c>
      <c r="H703" s="13">
        <f t="shared" si="42"/>
        <v>160711.99682607502</v>
      </c>
      <c r="I703" s="13">
        <f t="shared" si="43"/>
        <v>-275003.20444349502</v>
      </c>
    </row>
    <row r="704" spans="1:9" x14ac:dyDescent="0.25">
      <c r="A704" s="33">
        <v>13029.084139530625</v>
      </c>
      <c r="B704">
        <f t="shared" si="40"/>
        <v>300000</v>
      </c>
      <c r="C704" s="13">
        <f t="shared" si="41"/>
        <v>412035.88976714376</v>
      </c>
      <c r="G704" s="33">
        <v>4029.0841395306252</v>
      </c>
      <c r="H704" s="13">
        <f t="shared" si="42"/>
        <v>201454.20697653125</v>
      </c>
      <c r="I704" s="13">
        <f t="shared" si="43"/>
        <v>-217964.11023285624</v>
      </c>
    </row>
    <row r="705" spans="1:9" x14ac:dyDescent="0.25">
      <c r="A705" s="33">
        <v>16457.686086611531</v>
      </c>
      <c r="B705">
        <f t="shared" si="40"/>
        <v>300000</v>
      </c>
      <c r="C705" s="13">
        <f t="shared" si="41"/>
        <v>550000</v>
      </c>
      <c r="G705" s="33">
        <v>7457.6860866115294</v>
      </c>
      <c r="H705" s="13">
        <f t="shared" si="42"/>
        <v>300000</v>
      </c>
      <c r="I705" s="13">
        <f t="shared" si="43"/>
        <v>22038.026062807068</v>
      </c>
    </row>
    <row r="706" spans="1:9" x14ac:dyDescent="0.25">
      <c r="A706" s="33">
        <v>12309.915463728752</v>
      </c>
      <c r="B706">
        <f t="shared" si="40"/>
        <v>300000</v>
      </c>
      <c r="C706" s="13">
        <f t="shared" si="41"/>
        <v>361694.08246101264</v>
      </c>
      <c r="G706" s="33">
        <v>3309.9154637287515</v>
      </c>
      <c r="H706" s="13">
        <f t="shared" si="42"/>
        <v>165495.77318643758</v>
      </c>
      <c r="I706" s="13">
        <f t="shared" si="43"/>
        <v>-268305.91753898736</v>
      </c>
    </row>
    <row r="707" spans="1:9" x14ac:dyDescent="0.25">
      <c r="A707" s="33">
        <v>12567.491683706168</v>
      </c>
      <c r="B707">
        <f t="shared" si="40"/>
        <v>300000</v>
      </c>
      <c r="C707" s="13">
        <f t="shared" si="41"/>
        <v>379724.41785943182</v>
      </c>
      <c r="G707" s="33">
        <v>3567.4916837061678</v>
      </c>
      <c r="H707" s="13">
        <f t="shared" si="42"/>
        <v>178374.5841853084</v>
      </c>
      <c r="I707" s="13">
        <f t="shared" si="43"/>
        <v>-250275.58214056827</v>
      </c>
    </row>
    <row r="708" spans="1:9" x14ac:dyDescent="0.25">
      <c r="A708" s="33">
        <v>12167.241431928465</v>
      </c>
      <c r="B708">
        <f t="shared" si="40"/>
        <v>300000</v>
      </c>
      <c r="C708" s="13">
        <f t="shared" si="41"/>
        <v>351706.90023499262</v>
      </c>
      <c r="G708" s="33">
        <v>3167.2414319284644</v>
      </c>
      <c r="H708" s="13">
        <f t="shared" si="42"/>
        <v>158362.07159642322</v>
      </c>
      <c r="I708" s="13">
        <f t="shared" si="43"/>
        <v>-278293.0997650075</v>
      </c>
    </row>
    <row r="709" spans="1:9" x14ac:dyDescent="0.25">
      <c r="A709" s="33">
        <v>13302.52998443556</v>
      </c>
      <c r="B709">
        <f t="shared" si="40"/>
        <v>300000</v>
      </c>
      <c r="C709" s="13">
        <f t="shared" si="41"/>
        <v>431177.09891048912</v>
      </c>
      <c r="G709" s="33">
        <v>4302.5299844355595</v>
      </c>
      <c r="H709" s="13">
        <f t="shared" si="42"/>
        <v>215126.49922177798</v>
      </c>
      <c r="I709" s="13">
        <f t="shared" si="43"/>
        <v>-198822.90108951082</v>
      </c>
    </row>
    <row r="710" spans="1:9" x14ac:dyDescent="0.25">
      <c r="A710" s="33">
        <v>14436.597796563616</v>
      </c>
      <c r="B710">
        <f t="shared" si="40"/>
        <v>300000</v>
      </c>
      <c r="C710" s="13">
        <f t="shared" si="41"/>
        <v>510561.84575945314</v>
      </c>
      <c r="G710" s="33">
        <v>5436.5977965636157</v>
      </c>
      <c r="H710" s="13">
        <f t="shared" si="42"/>
        <v>271829.88982818078</v>
      </c>
      <c r="I710" s="13">
        <f t="shared" si="43"/>
        <v>-119438.15424054692</v>
      </c>
    </row>
    <row r="711" spans="1:9" x14ac:dyDescent="0.25">
      <c r="A711" s="33">
        <v>16884.640034180731</v>
      </c>
      <c r="B711">
        <f t="shared" si="40"/>
        <v>300000</v>
      </c>
      <c r="C711" s="13">
        <f t="shared" si="41"/>
        <v>550000</v>
      </c>
      <c r="G711" s="33">
        <v>7884.6400341807303</v>
      </c>
      <c r="H711" s="13">
        <f t="shared" si="42"/>
        <v>300000</v>
      </c>
      <c r="I711" s="13">
        <f t="shared" si="43"/>
        <v>51924.802392651094</v>
      </c>
    </row>
    <row r="712" spans="1:9" x14ac:dyDescent="0.25">
      <c r="A712" s="33">
        <v>16080.172124393444</v>
      </c>
      <c r="B712">
        <f t="shared" si="40"/>
        <v>300000</v>
      </c>
      <c r="C712" s="13">
        <f t="shared" si="41"/>
        <v>550000</v>
      </c>
      <c r="G712" s="33">
        <v>7080.1721243934444</v>
      </c>
      <c r="H712" s="13">
        <f t="shared" si="42"/>
        <v>300000</v>
      </c>
      <c r="I712" s="13">
        <f t="shared" si="43"/>
        <v>-4387.9512924589217</v>
      </c>
    </row>
    <row r="713" spans="1:9" x14ac:dyDescent="0.25">
      <c r="A713" s="33">
        <v>14107.150486770226</v>
      </c>
      <c r="B713">
        <f t="shared" si="40"/>
        <v>300000</v>
      </c>
      <c r="C713" s="13">
        <f t="shared" si="41"/>
        <v>487500.5340739158</v>
      </c>
      <c r="G713" s="33">
        <v>5107.1504867702261</v>
      </c>
      <c r="H713" s="13">
        <f t="shared" si="42"/>
        <v>255357.52433851131</v>
      </c>
      <c r="I713" s="13">
        <f t="shared" si="43"/>
        <v>-142499.4659260842</v>
      </c>
    </row>
    <row r="714" spans="1:9" x14ac:dyDescent="0.25">
      <c r="A714" s="33">
        <v>14989.288003173926</v>
      </c>
      <c r="B714">
        <f t="shared" si="40"/>
        <v>300000</v>
      </c>
      <c r="C714" s="13">
        <f t="shared" si="41"/>
        <v>549250.16022217483</v>
      </c>
      <c r="G714" s="33">
        <v>5989.2880031739251</v>
      </c>
      <c r="H714" s="13">
        <f t="shared" si="42"/>
        <v>299464.40015869623</v>
      </c>
      <c r="I714" s="13">
        <f t="shared" si="43"/>
        <v>-80749.839777825226</v>
      </c>
    </row>
    <row r="715" spans="1:9" x14ac:dyDescent="0.25">
      <c r="A715" s="33">
        <v>14540.818506424146</v>
      </c>
      <c r="B715">
        <f t="shared" ref="B715:B778" si="44">MIN(A715,6000)*50</f>
        <v>300000</v>
      </c>
      <c r="C715" s="13">
        <f t="shared" ref="C715:C778" si="45">MIN(A715,$C$3)*$C$6-500000</f>
        <v>517857.29544969019</v>
      </c>
      <c r="G715" s="33">
        <v>5540.8185064241461</v>
      </c>
      <c r="H715" s="13">
        <f t="shared" ref="H715:H778" si="46">MIN(G715,6000)*50</f>
        <v>277040.92532120732</v>
      </c>
      <c r="I715" s="13">
        <f t="shared" ref="I715:I778" si="47">MIN(G715,15000)*70-500000</f>
        <v>-112142.70455030975</v>
      </c>
    </row>
    <row r="716" spans="1:9" x14ac:dyDescent="0.25">
      <c r="A716" s="33">
        <v>15530.228583635975</v>
      </c>
      <c r="B716">
        <f t="shared" si="44"/>
        <v>300000</v>
      </c>
      <c r="C716" s="13">
        <f t="shared" si="45"/>
        <v>550000</v>
      </c>
      <c r="G716" s="33">
        <v>6530.2285836359752</v>
      </c>
      <c r="H716" s="13">
        <f t="shared" si="46"/>
        <v>300000</v>
      </c>
      <c r="I716" s="13">
        <f t="shared" si="47"/>
        <v>-42883.999145481735</v>
      </c>
    </row>
    <row r="717" spans="1:9" x14ac:dyDescent="0.25">
      <c r="A717" s="33">
        <v>12416.272469252603</v>
      </c>
      <c r="B717">
        <f t="shared" si="44"/>
        <v>300000</v>
      </c>
      <c r="C717" s="13">
        <f t="shared" si="45"/>
        <v>369139.07284768217</v>
      </c>
      <c r="G717" s="33">
        <v>3416.2724692526017</v>
      </c>
      <c r="H717" s="13">
        <f t="shared" si="46"/>
        <v>170813.62346263009</v>
      </c>
      <c r="I717" s="13">
        <f t="shared" si="47"/>
        <v>-260860.92715231789</v>
      </c>
    </row>
    <row r="718" spans="1:9" x14ac:dyDescent="0.25">
      <c r="A718" s="33">
        <v>13335.184789574878</v>
      </c>
      <c r="B718">
        <f t="shared" si="44"/>
        <v>300000</v>
      </c>
      <c r="C718" s="13">
        <f t="shared" si="45"/>
        <v>433462.93527024146</v>
      </c>
      <c r="G718" s="33">
        <v>4335.184789574877</v>
      </c>
      <c r="H718" s="13">
        <f t="shared" si="46"/>
        <v>216759.23947874384</v>
      </c>
      <c r="I718" s="13">
        <f t="shared" si="47"/>
        <v>-196537.0647297586</v>
      </c>
    </row>
    <row r="719" spans="1:9" x14ac:dyDescent="0.25">
      <c r="A719" s="33">
        <v>14927.030243842892</v>
      </c>
      <c r="B719">
        <f t="shared" si="44"/>
        <v>300000</v>
      </c>
      <c r="C719" s="13">
        <f t="shared" si="45"/>
        <v>544892.11706900247</v>
      </c>
      <c r="G719" s="33">
        <v>5927.0302438428907</v>
      </c>
      <c r="H719" s="13">
        <f t="shared" si="46"/>
        <v>296351.51219214452</v>
      </c>
      <c r="I719" s="13">
        <f t="shared" si="47"/>
        <v>-85107.882930997643</v>
      </c>
    </row>
    <row r="720" spans="1:9" x14ac:dyDescent="0.25">
      <c r="A720" s="33">
        <v>12367.442854091007</v>
      </c>
      <c r="B720">
        <f t="shared" si="44"/>
        <v>300000</v>
      </c>
      <c r="C720" s="13">
        <f t="shared" si="45"/>
        <v>365720.99978637043</v>
      </c>
      <c r="G720" s="33">
        <v>3367.4428540910062</v>
      </c>
      <c r="H720" s="13">
        <f t="shared" si="46"/>
        <v>168372.14270455032</v>
      </c>
      <c r="I720" s="13">
        <f t="shared" si="47"/>
        <v>-264279.00021362957</v>
      </c>
    </row>
    <row r="721" spans="1:9" x14ac:dyDescent="0.25">
      <c r="A721" s="33">
        <v>15114.566484572893</v>
      </c>
      <c r="B721">
        <f t="shared" si="44"/>
        <v>300000</v>
      </c>
      <c r="C721" s="13">
        <f t="shared" si="45"/>
        <v>550000</v>
      </c>
      <c r="G721" s="33">
        <v>6114.5664845728934</v>
      </c>
      <c r="H721" s="13">
        <f t="shared" si="46"/>
        <v>300000</v>
      </c>
      <c r="I721" s="13">
        <f t="shared" si="47"/>
        <v>-71980.346079897485</v>
      </c>
    </row>
    <row r="722" spans="1:9" x14ac:dyDescent="0.25">
      <c r="A722" s="33">
        <v>14018.799401837214</v>
      </c>
      <c r="B722">
        <f t="shared" si="44"/>
        <v>300000</v>
      </c>
      <c r="C722" s="13">
        <f t="shared" si="45"/>
        <v>481315.95812860492</v>
      </c>
      <c r="G722" s="33">
        <v>5018.7994018372146</v>
      </c>
      <c r="H722" s="13">
        <f t="shared" si="46"/>
        <v>250939.97009186074</v>
      </c>
      <c r="I722" s="13">
        <f t="shared" si="47"/>
        <v>-148684.04187139496</v>
      </c>
    </row>
    <row r="723" spans="1:9" x14ac:dyDescent="0.25">
      <c r="A723" s="33">
        <v>16316.843165379803</v>
      </c>
      <c r="B723">
        <f t="shared" si="44"/>
        <v>300000</v>
      </c>
      <c r="C723" s="13">
        <f t="shared" si="45"/>
        <v>550000</v>
      </c>
      <c r="G723" s="33">
        <v>7316.8431653798025</v>
      </c>
      <c r="H723" s="13">
        <f t="shared" si="46"/>
        <v>300000</v>
      </c>
      <c r="I723" s="13">
        <f t="shared" si="47"/>
        <v>12179.021576586179</v>
      </c>
    </row>
    <row r="724" spans="1:9" x14ac:dyDescent="0.25">
      <c r="A724" s="33">
        <v>13550.645466475416</v>
      </c>
      <c r="B724">
        <f t="shared" si="44"/>
        <v>300000</v>
      </c>
      <c r="C724" s="13">
        <f t="shared" si="45"/>
        <v>448545.18265327916</v>
      </c>
      <c r="G724" s="33">
        <v>4550.6454664754174</v>
      </c>
      <c r="H724" s="13">
        <f t="shared" si="46"/>
        <v>227532.27332377087</v>
      </c>
      <c r="I724" s="13">
        <f t="shared" si="47"/>
        <v>-181454.81734672078</v>
      </c>
    </row>
    <row r="725" spans="1:9" x14ac:dyDescent="0.25">
      <c r="A725" s="33">
        <v>13485.946226386302</v>
      </c>
      <c r="B725">
        <f t="shared" si="44"/>
        <v>300000</v>
      </c>
      <c r="C725" s="13">
        <f t="shared" si="45"/>
        <v>444016.23584704113</v>
      </c>
      <c r="G725" s="33">
        <v>4485.9462263863034</v>
      </c>
      <c r="H725" s="13">
        <f t="shared" si="46"/>
        <v>224297.31131931517</v>
      </c>
      <c r="I725" s="13">
        <f t="shared" si="47"/>
        <v>-185983.76415295876</v>
      </c>
    </row>
    <row r="726" spans="1:9" x14ac:dyDescent="0.25">
      <c r="A726" s="33">
        <v>14205.877864925078</v>
      </c>
      <c r="B726">
        <f t="shared" si="44"/>
        <v>300000</v>
      </c>
      <c r="C726" s="13">
        <f t="shared" si="45"/>
        <v>494411.45054475544</v>
      </c>
      <c r="G726" s="33">
        <v>5205.8778649250771</v>
      </c>
      <c r="H726" s="13">
        <f t="shared" si="46"/>
        <v>260293.89324625387</v>
      </c>
      <c r="I726" s="13">
        <f t="shared" si="47"/>
        <v>-135588.54945524462</v>
      </c>
    </row>
    <row r="727" spans="1:9" x14ac:dyDescent="0.25">
      <c r="A727" s="33">
        <v>16658.34528641621</v>
      </c>
      <c r="B727">
        <f t="shared" si="44"/>
        <v>300000</v>
      </c>
      <c r="C727" s="13">
        <f t="shared" si="45"/>
        <v>550000</v>
      </c>
      <c r="G727" s="33">
        <v>7658.3452864162118</v>
      </c>
      <c r="H727" s="13">
        <f t="shared" si="46"/>
        <v>300000</v>
      </c>
      <c r="I727" s="13">
        <f t="shared" si="47"/>
        <v>36084.170049134875</v>
      </c>
    </row>
    <row r="728" spans="1:9" x14ac:dyDescent="0.25">
      <c r="A728" s="33">
        <v>14397.8392895291</v>
      </c>
      <c r="B728">
        <f t="shared" si="44"/>
        <v>300000</v>
      </c>
      <c r="C728" s="13">
        <f t="shared" si="45"/>
        <v>507848.75026703696</v>
      </c>
      <c r="G728" s="33">
        <v>5397.8392895290999</v>
      </c>
      <c r="H728" s="13">
        <f t="shared" si="46"/>
        <v>269891.964476455</v>
      </c>
      <c r="I728" s="13">
        <f t="shared" si="47"/>
        <v>-122151.24973296298</v>
      </c>
    </row>
    <row r="729" spans="1:9" x14ac:dyDescent="0.25">
      <c r="A729" s="33">
        <v>16588.915677358316</v>
      </c>
      <c r="B729">
        <f t="shared" si="44"/>
        <v>300000</v>
      </c>
      <c r="C729" s="13">
        <f t="shared" si="45"/>
        <v>550000</v>
      </c>
      <c r="G729" s="33">
        <v>7588.9156773583181</v>
      </c>
      <c r="H729" s="13">
        <f t="shared" si="46"/>
        <v>300000</v>
      </c>
      <c r="I729" s="13">
        <f t="shared" si="47"/>
        <v>31224.097415082273</v>
      </c>
    </row>
    <row r="730" spans="1:9" x14ac:dyDescent="0.25">
      <c r="A730" s="33">
        <v>14184.820093386639</v>
      </c>
      <c r="B730">
        <f t="shared" si="44"/>
        <v>300000</v>
      </c>
      <c r="C730" s="13">
        <f t="shared" si="45"/>
        <v>492937.4065370647</v>
      </c>
      <c r="G730" s="33">
        <v>5184.8200933866392</v>
      </c>
      <c r="H730" s="13">
        <f t="shared" si="46"/>
        <v>259241.00466933195</v>
      </c>
      <c r="I730" s="13">
        <f t="shared" si="47"/>
        <v>-137062.59346293524</v>
      </c>
    </row>
    <row r="731" spans="1:9" x14ac:dyDescent="0.25">
      <c r="A731" s="33">
        <v>15196.203497421186</v>
      </c>
      <c r="B731">
        <f t="shared" si="44"/>
        <v>300000</v>
      </c>
      <c r="C731" s="13">
        <f t="shared" si="45"/>
        <v>550000</v>
      </c>
      <c r="G731" s="33">
        <v>6196.2034974211856</v>
      </c>
      <c r="H731" s="13">
        <f t="shared" si="46"/>
        <v>300000</v>
      </c>
      <c r="I731" s="13">
        <f t="shared" si="47"/>
        <v>-66265.755180516979</v>
      </c>
    </row>
    <row r="732" spans="1:9" x14ac:dyDescent="0.25">
      <c r="A732" s="33">
        <v>14345.957823419903</v>
      </c>
      <c r="B732">
        <f t="shared" si="44"/>
        <v>300000</v>
      </c>
      <c r="C732" s="13">
        <f t="shared" si="45"/>
        <v>504217.04763939325</v>
      </c>
      <c r="G732" s="33">
        <v>5345.9578234199034</v>
      </c>
      <c r="H732" s="13">
        <f t="shared" si="46"/>
        <v>267297.89117099519</v>
      </c>
      <c r="I732" s="13">
        <f t="shared" si="47"/>
        <v>-125782.95236060675</v>
      </c>
    </row>
    <row r="733" spans="1:9" x14ac:dyDescent="0.25">
      <c r="A733" s="33">
        <v>12101.01626636555</v>
      </c>
      <c r="B733">
        <f t="shared" si="44"/>
        <v>300000</v>
      </c>
      <c r="C733" s="13">
        <f t="shared" si="45"/>
        <v>347071.13864558854</v>
      </c>
      <c r="G733" s="33">
        <v>3101.0162663655506</v>
      </c>
      <c r="H733" s="13">
        <f t="shared" si="46"/>
        <v>155050.81331827753</v>
      </c>
      <c r="I733" s="13">
        <f t="shared" si="47"/>
        <v>-282928.86135441146</v>
      </c>
    </row>
    <row r="734" spans="1:9" x14ac:dyDescent="0.25">
      <c r="A734" s="33">
        <v>15455.916013061922</v>
      </c>
      <c r="B734">
        <f t="shared" si="44"/>
        <v>300000</v>
      </c>
      <c r="C734" s="13">
        <f t="shared" si="45"/>
        <v>550000</v>
      </c>
      <c r="G734" s="33">
        <v>6455.9160130619221</v>
      </c>
      <c r="H734" s="13">
        <f t="shared" si="46"/>
        <v>300000</v>
      </c>
      <c r="I734" s="13">
        <f t="shared" si="47"/>
        <v>-48085.879085665452</v>
      </c>
    </row>
    <row r="735" spans="1:9" x14ac:dyDescent="0.25">
      <c r="A735" s="33">
        <v>16329.050569170202</v>
      </c>
      <c r="B735">
        <f t="shared" si="44"/>
        <v>300000</v>
      </c>
      <c r="C735" s="13">
        <f t="shared" si="45"/>
        <v>550000</v>
      </c>
      <c r="G735" s="33">
        <v>7329.0505691702019</v>
      </c>
      <c r="H735" s="13">
        <f t="shared" si="46"/>
        <v>300000</v>
      </c>
      <c r="I735" s="13">
        <f t="shared" si="47"/>
        <v>13033.539841914142</v>
      </c>
    </row>
    <row r="736" spans="1:9" x14ac:dyDescent="0.25">
      <c r="A736" s="33">
        <v>16001.739555040132</v>
      </c>
      <c r="B736">
        <f t="shared" si="44"/>
        <v>300000</v>
      </c>
      <c r="C736" s="13">
        <f t="shared" si="45"/>
        <v>550000</v>
      </c>
      <c r="G736" s="33">
        <v>7001.7395550401325</v>
      </c>
      <c r="H736" s="13">
        <f t="shared" si="46"/>
        <v>300000</v>
      </c>
      <c r="I736" s="13">
        <f t="shared" si="47"/>
        <v>-9878.2311471907306</v>
      </c>
    </row>
    <row r="737" spans="1:9" x14ac:dyDescent="0.25">
      <c r="A737" s="33">
        <v>12292.367320780053</v>
      </c>
      <c r="B737">
        <f t="shared" si="44"/>
        <v>300000</v>
      </c>
      <c r="C737" s="13">
        <f t="shared" si="45"/>
        <v>360465.71245460375</v>
      </c>
      <c r="G737" s="33">
        <v>3292.367320780053</v>
      </c>
      <c r="H737" s="13">
        <f t="shared" si="46"/>
        <v>164618.36603900266</v>
      </c>
      <c r="I737" s="13">
        <f t="shared" si="47"/>
        <v>-269534.28754539631</v>
      </c>
    </row>
    <row r="738" spans="1:9" x14ac:dyDescent="0.25">
      <c r="A738" s="33">
        <v>13438.642536698508</v>
      </c>
      <c r="B738">
        <f t="shared" si="44"/>
        <v>300000</v>
      </c>
      <c r="C738" s="13">
        <f t="shared" si="45"/>
        <v>440704.97756889556</v>
      </c>
      <c r="G738" s="33">
        <v>4438.6425366985077</v>
      </c>
      <c r="H738" s="13">
        <f t="shared" si="46"/>
        <v>221932.12683492538</v>
      </c>
      <c r="I738" s="13">
        <f t="shared" si="47"/>
        <v>-189295.02243110444</v>
      </c>
    </row>
    <row r="739" spans="1:9" x14ac:dyDescent="0.25">
      <c r="A739" s="33">
        <v>14610.705893124181</v>
      </c>
      <c r="B739">
        <f t="shared" si="44"/>
        <v>300000</v>
      </c>
      <c r="C739" s="13">
        <f t="shared" si="45"/>
        <v>522749.41251869267</v>
      </c>
      <c r="G739" s="33">
        <v>5610.70589312418</v>
      </c>
      <c r="H739" s="13">
        <f t="shared" si="46"/>
        <v>280535.29465620901</v>
      </c>
      <c r="I739" s="13">
        <f t="shared" si="47"/>
        <v>-107250.58748130739</v>
      </c>
    </row>
    <row r="740" spans="1:9" x14ac:dyDescent="0.25">
      <c r="A740" s="33">
        <v>15765.373699148535</v>
      </c>
      <c r="B740">
        <f t="shared" si="44"/>
        <v>300000</v>
      </c>
      <c r="C740" s="13">
        <f t="shared" si="45"/>
        <v>550000</v>
      </c>
      <c r="G740" s="33">
        <v>6765.3736991485339</v>
      </c>
      <c r="H740" s="13">
        <f t="shared" si="46"/>
        <v>300000</v>
      </c>
      <c r="I740" s="13">
        <f t="shared" si="47"/>
        <v>-26423.841059602622</v>
      </c>
    </row>
    <row r="741" spans="1:9" x14ac:dyDescent="0.25">
      <c r="A741" s="33">
        <v>15279.976805932798</v>
      </c>
      <c r="B741">
        <f t="shared" si="44"/>
        <v>300000</v>
      </c>
      <c r="C741" s="13">
        <f t="shared" si="45"/>
        <v>550000</v>
      </c>
      <c r="G741" s="33">
        <v>6279.976805932798</v>
      </c>
      <c r="H741" s="13">
        <f t="shared" si="46"/>
        <v>300000</v>
      </c>
      <c r="I741" s="13">
        <f t="shared" si="47"/>
        <v>-60401.623584704124</v>
      </c>
    </row>
    <row r="742" spans="1:9" x14ac:dyDescent="0.25">
      <c r="A742" s="33">
        <v>14331.308938871425</v>
      </c>
      <c r="B742">
        <f t="shared" si="44"/>
        <v>300000</v>
      </c>
      <c r="C742" s="13">
        <f t="shared" si="45"/>
        <v>503191.62572099979</v>
      </c>
      <c r="G742" s="33">
        <v>5331.3089388714252</v>
      </c>
      <c r="H742" s="13">
        <f t="shared" si="46"/>
        <v>266565.44694357127</v>
      </c>
      <c r="I742" s="13">
        <f t="shared" si="47"/>
        <v>-126808.37427900021</v>
      </c>
    </row>
    <row r="743" spans="1:9" x14ac:dyDescent="0.25">
      <c r="A743" s="33">
        <v>12299.081392864773</v>
      </c>
      <c r="B743">
        <f t="shared" si="44"/>
        <v>300000</v>
      </c>
      <c r="C743" s="13">
        <f t="shared" si="45"/>
        <v>360935.69750053412</v>
      </c>
      <c r="G743" s="33">
        <v>3299.0813928647726</v>
      </c>
      <c r="H743" s="13">
        <f t="shared" si="46"/>
        <v>164954.06964323862</v>
      </c>
      <c r="I743" s="13">
        <f t="shared" si="47"/>
        <v>-269064.30249946588</v>
      </c>
    </row>
    <row r="744" spans="1:9" x14ac:dyDescent="0.25">
      <c r="A744" s="33">
        <v>16806.360057374797</v>
      </c>
      <c r="B744">
        <f t="shared" si="44"/>
        <v>300000</v>
      </c>
      <c r="C744" s="13">
        <f t="shared" si="45"/>
        <v>550000</v>
      </c>
      <c r="G744" s="33">
        <v>7806.3600573747981</v>
      </c>
      <c r="H744" s="13">
        <f t="shared" si="46"/>
        <v>300000</v>
      </c>
      <c r="I744" s="13">
        <f t="shared" si="47"/>
        <v>46445.20401623589</v>
      </c>
    </row>
    <row r="745" spans="1:9" x14ac:dyDescent="0.25">
      <c r="A745" s="33">
        <v>14222.968230231636</v>
      </c>
      <c r="B745">
        <f t="shared" si="44"/>
        <v>300000</v>
      </c>
      <c r="C745" s="13">
        <f t="shared" si="45"/>
        <v>495607.77611621446</v>
      </c>
      <c r="G745" s="33">
        <v>5222.968230231636</v>
      </c>
      <c r="H745" s="13">
        <f t="shared" si="46"/>
        <v>261148.4115115818</v>
      </c>
      <c r="I745" s="13">
        <f t="shared" si="47"/>
        <v>-134392.22388378548</v>
      </c>
    </row>
    <row r="746" spans="1:9" x14ac:dyDescent="0.25">
      <c r="A746" s="33">
        <v>13150.090029602954</v>
      </c>
      <c r="B746">
        <f t="shared" si="44"/>
        <v>300000</v>
      </c>
      <c r="C746" s="13">
        <f t="shared" si="45"/>
        <v>420506.30207220674</v>
      </c>
      <c r="G746" s="33">
        <v>4150.090029602954</v>
      </c>
      <c r="H746" s="13">
        <f t="shared" si="46"/>
        <v>207504.50148014771</v>
      </c>
      <c r="I746" s="13">
        <f t="shared" si="47"/>
        <v>-209493.6979277932</v>
      </c>
    </row>
    <row r="747" spans="1:9" x14ac:dyDescent="0.25">
      <c r="A747" s="33">
        <v>13361.278115176854</v>
      </c>
      <c r="B747">
        <f t="shared" si="44"/>
        <v>300000</v>
      </c>
      <c r="C747" s="13">
        <f t="shared" si="45"/>
        <v>435289.46806237975</v>
      </c>
      <c r="G747" s="33">
        <v>4361.278115176855</v>
      </c>
      <c r="H747" s="13">
        <f t="shared" si="46"/>
        <v>218063.90575884274</v>
      </c>
      <c r="I747" s="13">
        <f t="shared" si="47"/>
        <v>-194710.53193762014</v>
      </c>
    </row>
    <row r="748" spans="1:9" x14ac:dyDescent="0.25">
      <c r="A748" s="33">
        <v>12675.374614703818</v>
      </c>
      <c r="B748">
        <f t="shared" si="44"/>
        <v>300000</v>
      </c>
      <c r="C748" s="13">
        <f t="shared" si="45"/>
        <v>387276.22302926728</v>
      </c>
      <c r="G748" s="33">
        <v>3675.3746147038178</v>
      </c>
      <c r="H748" s="13">
        <f t="shared" si="46"/>
        <v>183768.73073519088</v>
      </c>
      <c r="I748" s="13">
        <f t="shared" si="47"/>
        <v>-242723.77697073275</v>
      </c>
    </row>
    <row r="749" spans="1:9" x14ac:dyDescent="0.25">
      <c r="A749" s="33">
        <v>14614.062929166539</v>
      </c>
      <c r="B749">
        <f t="shared" si="44"/>
        <v>300000</v>
      </c>
      <c r="C749" s="13">
        <f t="shared" si="45"/>
        <v>522984.40504165774</v>
      </c>
      <c r="G749" s="33">
        <v>5614.0629291665391</v>
      </c>
      <c r="H749" s="13">
        <f t="shared" si="46"/>
        <v>280703.14645832696</v>
      </c>
      <c r="I749" s="13">
        <f t="shared" si="47"/>
        <v>-107015.59495834226</v>
      </c>
    </row>
    <row r="750" spans="1:9" x14ac:dyDescent="0.25">
      <c r="A750" s="33">
        <v>12482.802819910276</v>
      </c>
      <c r="B750">
        <f t="shared" si="44"/>
        <v>300000</v>
      </c>
      <c r="C750" s="13">
        <f t="shared" si="45"/>
        <v>373796.19739371934</v>
      </c>
      <c r="G750" s="33">
        <v>3482.8028199102755</v>
      </c>
      <c r="H750" s="13">
        <f t="shared" si="46"/>
        <v>174140.14099551376</v>
      </c>
      <c r="I750" s="13">
        <f t="shared" si="47"/>
        <v>-256203.80260628072</v>
      </c>
    </row>
    <row r="751" spans="1:9" x14ac:dyDescent="0.25">
      <c r="A751" s="33">
        <v>15338.877529221472</v>
      </c>
      <c r="B751">
        <f t="shared" si="44"/>
        <v>300000</v>
      </c>
      <c r="C751" s="13">
        <f t="shared" si="45"/>
        <v>550000</v>
      </c>
      <c r="G751" s="33">
        <v>6338.8775292214723</v>
      </c>
      <c r="H751" s="13">
        <f t="shared" si="46"/>
        <v>300000</v>
      </c>
      <c r="I751" s="13">
        <f t="shared" si="47"/>
        <v>-56278.572954496951</v>
      </c>
    </row>
    <row r="752" spans="1:9" x14ac:dyDescent="0.25">
      <c r="A752" s="33">
        <v>12332.346568193609</v>
      </c>
      <c r="B752">
        <f t="shared" si="44"/>
        <v>300000</v>
      </c>
      <c r="C752" s="13">
        <f t="shared" si="45"/>
        <v>363264.25977355265</v>
      </c>
      <c r="G752" s="33">
        <v>3332.3465681936095</v>
      </c>
      <c r="H752" s="13">
        <f t="shared" si="46"/>
        <v>166617.32840968049</v>
      </c>
      <c r="I752" s="13">
        <f t="shared" si="47"/>
        <v>-266735.74022644735</v>
      </c>
    </row>
    <row r="753" spans="1:9" x14ac:dyDescent="0.25">
      <c r="A753" s="33">
        <v>12321.05471968749</v>
      </c>
      <c r="B753">
        <f t="shared" si="44"/>
        <v>300000</v>
      </c>
      <c r="C753" s="13">
        <f t="shared" si="45"/>
        <v>362473.83037812437</v>
      </c>
      <c r="G753" s="33">
        <v>3321.0547196874904</v>
      </c>
      <c r="H753" s="13">
        <f t="shared" si="46"/>
        <v>166052.73598437454</v>
      </c>
      <c r="I753" s="13">
        <f t="shared" si="47"/>
        <v>-267526.16962187568</v>
      </c>
    </row>
    <row r="754" spans="1:9" x14ac:dyDescent="0.25">
      <c r="A754" s="33">
        <v>13986.144596697897</v>
      </c>
      <c r="B754">
        <f t="shared" si="44"/>
        <v>300000</v>
      </c>
      <c r="C754" s="13">
        <f t="shared" si="45"/>
        <v>479030.12176885281</v>
      </c>
      <c r="G754" s="33">
        <v>4986.1445966978972</v>
      </c>
      <c r="H754" s="13">
        <f t="shared" si="46"/>
        <v>249307.22983489485</v>
      </c>
      <c r="I754" s="13">
        <f t="shared" si="47"/>
        <v>-150969.87823114719</v>
      </c>
    </row>
    <row r="755" spans="1:9" x14ac:dyDescent="0.25">
      <c r="A755" s="33">
        <v>12981.627857295449</v>
      </c>
      <c r="B755">
        <f t="shared" si="44"/>
        <v>300000</v>
      </c>
      <c r="C755" s="13">
        <f t="shared" si="45"/>
        <v>408713.95001068141</v>
      </c>
      <c r="G755" s="33">
        <v>3981.6278572954498</v>
      </c>
      <c r="H755" s="13">
        <f t="shared" si="46"/>
        <v>199081.3928647725</v>
      </c>
      <c r="I755" s="13">
        <f t="shared" si="47"/>
        <v>-221286.04998931853</v>
      </c>
    </row>
    <row r="756" spans="1:9" x14ac:dyDescent="0.25">
      <c r="A756" s="33">
        <v>14870.113223670156</v>
      </c>
      <c r="B756">
        <f t="shared" si="44"/>
        <v>300000</v>
      </c>
      <c r="C756" s="13">
        <f t="shared" si="45"/>
        <v>540907.92565691087</v>
      </c>
      <c r="G756" s="33">
        <v>5870.113223670156</v>
      </c>
      <c r="H756" s="13">
        <f t="shared" si="46"/>
        <v>293505.66118350782</v>
      </c>
      <c r="I756" s="13">
        <f t="shared" si="47"/>
        <v>-89092.074343089072</v>
      </c>
    </row>
    <row r="757" spans="1:9" x14ac:dyDescent="0.25">
      <c r="A757" s="33">
        <v>12538.19391460921</v>
      </c>
      <c r="B757">
        <f t="shared" si="44"/>
        <v>300000</v>
      </c>
      <c r="C757" s="13">
        <f t="shared" si="45"/>
        <v>377673.57402264467</v>
      </c>
      <c r="G757" s="33">
        <v>3538.1939146092104</v>
      </c>
      <c r="H757" s="13">
        <f t="shared" si="46"/>
        <v>176909.69573046052</v>
      </c>
      <c r="I757" s="13">
        <f t="shared" si="47"/>
        <v>-252326.42597735528</v>
      </c>
    </row>
    <row r="758" spans="1:9" x14ac:dyDescent="0.25">
      <c r="A758" s="33">
        <v>12157.628101443526</v>
      </c>
      <c r="B758">
        <f t="shared" si="44"/>
        <v>300000</v>
      </c>
      <c r="C758" s="13">
        <f t="shared" si="45"/>
        <v>351033.96710104682</v>
      </c>
      <c r="G758" s="33">
        <v>3157.6281014435253</v>
      </c>
      <c r="H758" s="13">
        <f t="shared" si="46"/>
        <v>157881.40507217628</v>
      </c>
      <c r="I758" s="13">
        <f t="shared" si="47"/>
        <v>-278966.03289895318</v>
      </c>
    </row>
    <row r="759" spans="1:9" x14ac:dyDescent="0.25">
      <c r="A759" s="33">
        <v>15054.750205999939</v>
      </c>
      <c r="B759">
        <f t="shared" si="44"/>
        <v>300000</v>
      </c>
      <c r="C759" s="13">
        <f t="shared" si="45"/>
        <v>550000</v>
      </c>
      <c r="G759" s="33">
        <v>6054.7502059999388</v>
      </c>
      <c r="H759" s="13">
        <f t="shared" si="46"/>
        <v>300000</v>
      </c>
      <c r="I759" s="13">
        <f t="shared" si="47"/>
        <v>-76167.485580004286</v>
      </c>
    </row>
    <row r="760" spans="1:9" x14ac:dyDescent="0.25">
      <c r="A760" s="33">
        <v>14718.28363902707</v>
      </c>
      <c r="B760">
        <f t="shared" si="44"/>
        <v>300000</v>
      </c>
      <c r="C760" s="13">
        <f t="shared" si="45"/>
        <v>530279.85473189491</v>
      </c>
      <c r="G760" s="33">
        <v>5718.2836390270695</v>
      </c>
      <c r="H760" s="13">
        <f t="shared" si="46"/>
        <v>285914.1819513535</v>
      </c>
      <c r="I760" s="13">
        <f t="shared" si="47"/>
        <v>-99720.145268105145</v>
      </c>
    </row>
    <row r="761" spans="1:9" x14ac:dyDescent="0.25">
      <c r="A761" s="33">
        <v>12301.522873622853</v>
      </c>
      <c r="B761">
        <f t="shared" si="44"/>
        <v>300000</v>
      </c>
      <c r="C761" s="13">
        <f t="shared" si="45"/>
        <v>361106.60115359968</v>
      </c>
      <c r="G761" s="33">
        <v>3301.5228736228523</v>
      </c>
      <c r="H761" s="13">
        <f t="shared" si="46"/>
        <v>165076.14368114262</v>
      </c>
      <c r="I761" s="13">
        <f t="shared" si="47"/>
        <v>-268893.39884640032</v>
      </c>
    </row>
    <row r="762" spans="1:9" x14ac:dyDescent="0.25">
      <c r="A762" s="33">
        <v>12415.509506515702</v>
      </c>
      <c r="B762">
        <f t="shared" si="44"/>
        <v>300000</v>
      </c>
      <c r="C762" s="13">
        <f t="shared" si="45"/>
        <v>369085.66545609909</v>
      </c>
      <c r="G762" s="33">
        <v>3415.509506515702</v>
      </c>
      <c r="H762" s="13">
        <f t="shared" si="46"/>
        <v>170775.47532578511</v>
      </c>
      <c r="I762" s="13">
        <f t="shared" si="47"/>
        <v>-260914.33454390086</v>
      </c>
    </row>
    <row r="763" spans="1:9" x14ac:dyDescent="0.25">
      <c r="A763" s="33">
        <v>13225.928525650806</v>
      </c>
      <c r="B763">
        <f t="shared" si="44"/>
        <v>300000</v>
      </c>
      <c r="C763" s="13">
        <f t="shared" si="45"/>
        <v>425814.99679555651</v>
      </c>
      <c r="G763" s="33">
        <v>4225.9285256508074</v>
      </c>
      <c r="H763" s="13">
        <f t="shared" si="46"/>
        <v>211296.42628254037</v>
      </c>
      <c r="I763" s="13">
        <f t="shared" si="47"/>
        <v>-204185.00320444349</v>
      </c>
    </row>
    <row r="764" spans="1:9" x14ac:dyDescent="0.25">
      <c r="A764" s="33">
        <v>15606.067079683828</v>
      </c>
      <c r="B764">
        <f t="shared" si="44"/>
        <v>300000</v>
      </c>
      <c r="C764" s="13">
        <f t="shared" si="45"/>
        <v>550000</v>
      </c>
      <c r="G764" s="33">
        <v>6606.0670796838285</v>
      </c>
      <c r="H764" s="13">
        <f t="shared" si="46"/>
        <v>300000</v>
      </c>
      <c r="I764" s="13">
        <f t="shared" si="47"/>
        <v>-37575.304422132031</v>
      </c>
    </row>
    <row r="765" spans="1:9" x14ac:dyDescent="0.25">
      <c r="A765" s="33">
        <v>16724.417859431745</v>
      </c>
      <c r="B765">
        <f t="shared" si="44"/>
        <v>300000</v>
      </c>
      <c r="C765" s="13">
        <f t="shared" si="45"/>
        <v>550000</v>
      </c>
      <c r="G765" s="33">
        <v>7724.4178594317455</v>
      </c>
      <c r="H765" s="13">
        <f t="shared" si="46"/>
        <v>300000</v>
      </c>
      <c r="I765" s="13">
        <f t="shared" si="47"/>
        <v>40709.250160222175</v>
      </c>
    </row>
    <row r="766" spans="1:9" x14ac:dyDescent="0.25">
      <c r="A766" s="33">
        <v>13015.503402813807</v>
      </c>
      <c r="B766">
        <f t="shared" si="44"/>
        <v>300000</v>
      </c>
      <c r="C766" s="13">
        <f t="shared" si="45"/>
        <v>411085.23819696647</v>
      </c>
      <c r="G766" s="33">
        <v>4015.5034028138066</v>
      </c>
      <c r="H766" s="13">
        <f t="shared" si="46"/>
        <v>200775.17014069032</v>
      </c>
      <c r="I766" s="13">
        <f t="shared" si="47"/>
        <v>-218914.76180303353</v>
      </c>
    </row>
    <row r="767" spans="1:9" x14ac:dyDescent="0.25">
      <c r="A767" s="33">
        <v>14439.802240058596</v>
      </c>
      <c r="B767">
        <f t="shared" si="44"/>
        <v>300000</v>
      </c>
      <c r="C767" s="13">
        <f t="shared" si="45"/>
        <v>510786.15680410177</v>
      </c>
      <c r="G767" s="33">
        <v>5439.802240058596</v>
      </c>
      <c r="H767" s="13">
        <f t="shared" si="46"/>
        <v>271990.11200292979</v>
      </c>
      <c r="I767" s="13">
        <f t="shared" si="47"/>
        <v>-119213.84319589828</v>
      </c>
    </row>
    <row r="768" spans="1:9" x14ac:dyDescent="0.25">
      <c r="A768" s="33">
        <v>14066.40827661977</v>
      </c>
      <c r="B768">
        <f t="shared" si="44"/>
        <v>300000</v>
      </c>
      <c r="C768" s="13">
        <f t="shared" si="45"/>
        <v>484648.57936338393</v>
      </c>
      <c r="G768" s="33">
        <v>5066.4082766197698</v>
      </c>
      <c r="H768" s="13">
        <f t="shared" si="46"/>
        <v>253320.41383098849</v>
      </c>
      <c r="I768" s="13">
        <f t="shared" si="47"/>
        <v>-145351.42063661612</v>
      </c>
    </row>
    <row r="769" spans="1:9" x14ac:dyDescent="0.25">
      <c r="A769" s="33">
        <v>16610.889004181037</v>
      </c>
      <c r="B769">
        <f t="shared" si="44"/>
        <v>300000</v>
      </c>
      <c r="C769" s="13">
        <f t="shared" si="45"/>
        <v>550000</v>
      </c>
      <c r="G769" s="33">
        <v>7610.8890041810355</v>
      </c>
      <c r="H769" s="13">
        <f t="shared" si="46"/>
        <v>300000</v>
      </c>
      <c r="I769" s="13">
        <f t="shared" si="47"/>
        <v>32762.230292672524</v>
      </c>
    </row>
    <row r="770" spans="1:9" x14ac:dyDescent="0.25">
      <c r="A770" s="33">
        <v>12837.122714926603</v>
      </c>
      <c r="B770">
        <f t="shared" si="44"/>
        <v>300000</v>
      </c>
      <c r="C770" s="13">
        <f t="shared" si="45"/>
        <v>398598.59004486224</v>
      </c>
      <c r="G770" s="33">
        <v>3837.1227149266028</v>
      </c>
      <c r="H770" s="13">
        <f t="shared" si="46"/>
        <v>191856.13574633014</v>
      </c>
      <c r="I770" s="13">
        <f t="shared" si="47"/>
        <v>-231401.40995513782</v>
      </c>
    </row>
    <row r="771" spans="1:9" x14ac:dyDescent="0.25">
      <c r="A771" s="33">
        <v>15682.82113101596</v>
      </c>
      <c r="B771">
        <f t="shared" si="44"/>
        <v>300000</v>
      </c>
      <c r="C771" s="13">
        <f t="shared" si="45"/>
        <v>550000</v>
      </c>
      <c r="G771" s="33">
        <v>6682.8211310159613</v>
      </c>
      <c r="H771" s="13">
        <f t="shared" si="46"/>
        <v>300000</v>
      </c>
      <c r="I771" s="13">
        <f t="shared" si="47"/>
        <v>-32202.520828882698</v>
      </c>
    </row>
    <row r="772" spans="1:9" x14ac:dyDescent="0.25">
      <c r="A772" s="33">
        <v>15762.321848200934</v>
      </c>
      <c r="B772">
        <f t="shared" si="44"/>
        <v>300000</v>
      </c>
      <c r="C772" s="13">
        <f t="shared" si="45"/>
        <v>550000</v>
      </c>
      <c r="G772" s="33">
        <v>6762.3218482009343</v>
      </c>
      <c r="H772" s="13">
        <f t="shared" si="46"/>
        <v>300000</v>
      </c>
      <c r="I772" s="13">
        <f t="shared" si="47"/>
        <v>-26637.470625934599</v>
      </c>
    </row>
    <row r="773" spans="1:9" x14ac:dyDescent="0.25">
      <c r="A773" s="33">
        <v>12601.367229224525</v>
      </c>
      <c r="B773">
        <f t="shared" si="44"/>
        <v>300000</v>
      </c>
      <c r="C773" s="13">
        <f t="shared" si="45"/>
        <v>382095.70604571677</v>
      </c>
      <c r="G773" s="33">
        <v>3601.3672292245246</v>
      </c>
      <c r="H773" s="13">
        <f t="shared" si="46"/>
        <v>180068.36146122625</v>
      </c>
      <c r="I773" s="13">
        <f t="shared" si="47"/>
        <v>-247904.29395428329</v>
      </c>
    </row>
    <row r="774" spans="1:9" x14ac:dyDescent="0.25">
      <c r="A774" s="33">
        <v>14570.421460615864</v>
      </c>
      <c r="B774">
        <f t="shared" si="44"/>
        <v>300000</v>
      </c>
      <c r="C774" s="13">
        <f t="shared" si="45"/>
        <v>519929.50224311044</v>
      </c>
      <c r="G774" s="33">
        <v>5570.4214606158639</v>
      </c>
      <c r="H774" s="13">
        <f t="shared" si="46"/>
        <v>278521.07303079322</v>
      </c>
      <c r="I774" s="13">
        <f t="shared" si="47"/>
        <v>-110070.49775688956</v>
      </c>
    </row>
    <row r="775" spans="1:9" x14ac:dyDescent="0.25">
      <c r="A775" s="33">
        <v>12549.790948210089</v>
      </c>
      <c r="B775">
        <f t="shared" si="44"/>
        <v>300000</v>
      </c>
      <c r="C775" s="13">
        <f t="shared" si="45"/>
        <v>378485.36637470627</v>
      </c>
      <c r="G775" s="33">
        <v>3549.7909482100895</v>
      </c>
      <c r="H775" s="13">
        <f t="shared" si="46"/>
        <v>177489.54741050449</v>
      </c>
      <c r="I775" s="13">
        <f t="shared" si="47"/>
        <v>-251514.63362529373</v>
      </c>
    </row>
    <row r="776" spans="1:9" x14ac:dyDescent="0.25">
      <c r="A776" s="33">
        <v>15416.394543290506</v>
      </c>
      <c r="B776">
        <f t="shared" si="44"/>
        <v>300000</v>
      </c>
      <c r="C776" s="13">
        <f t="shared" si="45"/>
        <v>550000</v>
      </c>
      <c r="G776" s="33">
        <v>6416.3945432905057</v>
      </c>
      <c r="H776" s="13">
        <f t="shared" si="46"/>
        <v>300000</v>
      </c>
      <c r="I776" s="13">
        <f t="shared" si="47"/>
        <v>-50852.381969664595</v>
      </c>
    </row>
    <row r="777" spans="1:9" x14ac:dyDescent="0.25">
      <c r="A777" s="33">
        <v>13508.835108493302</v>
      </c>
      <c r="B777">
        <f t="shared" si="44"/>
        <v>300000</v>
      </c>
      <c r="C777" s="13">
        <f t="shared" si="45"/>
        <v>445618.45759453112</v>
      </c>
      <c r="G777" s="33">
        <v>4508.835108493301</v>
      </c>
      <c r="H777" s="13">
        <f t="shared" si="46"/>
        <v>225441.75542466505</v>
      </c>
      <c r="I777" s="13">
        <f t="shared" si="47"/>
        <v>-184381.54240546894</v>
      </c>
    </row>
    <row r="778" spans="1:9" x14ac:dyDescent="0.25">
      <c r="A778" s="33">
        <v>15333.994567705313</v>
      </c>
      <c r="B778">
        <f t="shared" si="44"/>
        <v>300000</v>
      </c>
      <c r="C778" s="13">
        <f t="shared" si="45"/>
        <v>550000</v>
      </c>
      <c r="G778" s="33">
        <v>6333.9945677053129</v>
      </c>
      <c r="H778" s="13">
        <f t="shared" si="46"/>
        <v>300000</v>
      </c>
      <c r="I778" s="13">
        <f t="shared" si="47"/>
        <v>-56620.380260628124</v>
      </c>
    </row>
    <row r="779" spans="1:9" x14ac:dyDescent="0.25">
      <c r="A779" s="33">
        <v>15512.985625782037</v>
      </c>
      <c r="B779">
        <f t="shared" ref="B779:B842" si="48">MIN(A779,6000)*50</f>
        <v>300000</v>
      </c>
      <c r="C779" s="13">
        <f t="shared" ref="C779:C842" si="49">MIN(A779,$C$3)*$C$6-500000</f>
        <v>550000</v>
      </c>
      <c r="G779" s="33">
        <v>6512.9856257820375</v>
      </c>
      <c r="H779" s="13">
        <f t="shared" ref="H779:H842" si="50">MIN(G779,6000)*50</f>
        <v>300000</v>
      </c>
      <c r="I779" s="13">
        <f t="shared" ref="I779:I842" si="51">MIN(G779,15000)*70-500000</f>
        <v>-44091.00619525736</v>
      </c>
    </row>
    <row r="780" spans="1:9" x14ac:dyDescent="0.25">
      <c r="A780" s="33">
        <v>13625.72099978637</v>
      </c>
      <c r="B780">
        <f t="shared" si="48"/>
        <v>300000</v>
      </c>
      <c r="C780" s="13">
        <f t="shared" si="49"/>
        <v>453800.46998504596</v>
      </c>
      <c r="G780" s="33">
        <v>4625.7209997863702</v>
      </c>
      <c r="H780" s="13">
        <f t="shared" si="50"/>
        <v>231286.0499893185</v>
      </c>
      <c r="I780" s="13">
        <f t="shared" si="51"/>
        <v>-176199.5300149541</v>
      </c>
    </row>
    <row r="781" spans="1:9" x14ac:dyDescent="0.25">
      <c r="A781" s="33">
        <v>13999.572740867336</v>
      </c>
      <c r="B781">
        <f t="shared" si="48"/>
        <v>300000</v>
      </c>
      <c r="C781" s="13">
        <f t="shared" si="49"/>
        <v>479970.09186071344</v>
      </c>
      <c r="G781" s="33">
        <v>4999.5727408673356</v>
      </c>
      <c r="H781" s="13">
        <f t="shared" si="50"/>
        <v>249978.63704336679</v>
      </c>
      <c r="I781" s="13">
        <f t="shared" si="51"/>
        <v>-150029.9081392865</v>
      </c>
    </row>
    <row r="782" spans="1:9" x14ac:dyDescent="0.25">
      <c r="A782" s="33">
        <v>14256.691183202613</v>
      </c>
      <c r="B782">
        <f t="shared" si="48"/>
        <v>300000</v>
      </c>
      <c r="C782" s="13">
        <f t="shared" si="49"/>
        <v>497968.38282418286</v>
      </c>
      <c r="G782" s="33">
        <v>5256.6911832026126</v>
      </c>
      <c r="H782" s="13">
        <f t="shared" si="50"/>
        <v>262834.55916013062</v>
      </c>
      <c r="I782" s="13">
        <f t="shared" si="51"/>
        <v>-132031.61717581714</v>
      </c>
    </row>
    <row r="783" spans="1:9" x14ac:dyDescent="0.25">
      <c r="A783" s="33">
        <v>15304.086428418836</v>
      </c>
      <c r="B783">
        <f t="shared" si="48"/>
        <v>300000</v>
      </c>
      <c r="C783" s="13">
        <f t="shared" si="49"/>
        <v>550000</v>
      </c>
      <c r="G783" s="33">
        <v>6304.0864284188356</v>
      </c>
      <c r="H783" s="13">
        <f t="shared" si="50"/>
        <v>300000</v>
      </c>
      <c r="I783" s="13">
        <f t="shared" si="51"/>
        <v>-58713.950010681525</v>
      </c>
    </row>
    <row r="784" spans="1:9" x14ac:dyDescent="0.25">
      <c r="A784" s="33">
        <v>16342.63130588702</v>
      </c>
      <c r="B784">
        <f t="shared" si="48"/>
        <v>300000</v>
      </c>
      <c r="C784" s="13">
        <f t="shared" si="49"/>
        <v>550000</v>
      </c>
      <c r="G784" s="33">
        <v>7342.6313058870201</v>
      </c>
      <c r="H784" s="13">
        <f t="shared" si="50"/>
        <v>300000</v>
      </c>
      <c r="I784" s="13">
        <f t="shared" si="51"/>
        <v>13984.19141209143</v>
      </c>
    </row>
    <row r="785" spans="1:9" x14ac:dyDescent="0.25">
      <c r="A785" s="33">
        <v>14276.52821436201</v>
      </c>
      <c r="B785">
        <f t="shared" si="48"/>
        <v>300000</v>
      </c>
      <c r="C785" s="13">
        <f t="shared" si="49"/>
        <v>499356.97500534065</v>
      </c>
      <c r="G785" s="33">
        <v>5276.5282143620107</v>
      </c>
      <c r="H785" s="13">
        <f t="shared" si="50"/>
        <v>263826.41071810055</v>
      </c>
      <c r="I785" s="13">
        <f t="shared" si="51"/>
        <v>-130643.02499465924</v>
      </c>
    </row>
    <row r="786" spans="1:9" x14ac:dyDescent="0.25">
      <c r="A786" s="33">
        <v>14052.369762260811</v>
      </c>
      <c r="B786">
        <f t="shared" si="48"/>
        <v>300000</v>
      </c>
      <c r="C786" s="13">
        <f t="shared" si="49"/>
        <v>483665.88335825677</v>
      </c>
      <c r="G786" s="33">
        <v>5052.3697622608106</v>
      </c>
      <c r="H786" s="13">
        <f t="shared" si="50"/>
        <v>252618.48811304054</v>
      </c>
      <c r="I786" s="13">
        <f t="shared" si="51"/>
        <v>-146334.11664174328</v>
      </c>
    </row>
    <row r="787" spans="1:9" x14ac:dyDescent="0.25">
      <c r="A787" s="33">
        <v>16313.028351695302</v>
      </c>
      <c r="B787">
        <f t="shared" si="48"/>
        <v>300000</v>
      </c>
      <c r="C787" s="13">
        <f t="shared" si="49"/>
        <v>550000</v>
      </c>
      <c r="G787" s="33">
        <v>7313.0283516953032</v>
      </c>
      <c r="H787" s="13">
        <f t="shared" si="50"/>
        <v>300000</v>
      </c>
      <c r="I787" s="13">
        <f t="shared" si="51"/>
        <v>11911.984618671238</v>
      </c>
    </row>
    <row r="788" spans="1:9" x14ac:dyDescent="0.25">
      <c r="A788" s="33">
        <v>15301.644947660756</v>
      </c>
      <c r="B788">
        <f t="shared" si="48"/>
        <v>300000</v>
      </c>
      <c r="C788" s="13">
        <f t="shared" si="49"/>
        <v>550000</v>
      </c>
      <c r="G788" s="33">
        <v>6301.6449476607559</v>
      </c>
      <c r="H788" s="13">
        <f t="shared" si="50"/>
        <v>300000</v>
      </c>
      <c r="I788" s="13">
        <f t="shared" si="51"/>
        <v>-58884.853663747082</v>
      </c>
    </row>
    <row r="789" spans="1:9" x14ac:dyDescent="0.25">
      <c r="A789" s="33">
        <v>16920.804467909787</v>
      </c>
      <c r="B789">
        <f t="shared" si="48"/>
        <v>300000</v>
      </c>
      <c r="C789" s="13">
        <f t="shared" si="49"/>
        <v>550000</v>
      </c>
      <c r="G789" s="33">
        <v>7920.8044679097875</v>
      </c>
      <c r="H789" s="13">
        <f t="shared" si="50"/>
        <v>300000</v>
      </c>
      <c r="I789" s="13">
        <f t="shared" si="51"/>
        <v>54456.312753685168</v>
      </c>
    </row>
    <row r="790" spans="1:9" x14ac:dyDescent="0.25">
      <c r="A790" s="33">
        <v>16121.06692709128</v>
      </c>
      <c r="B790">
        <f t="shared" si="48"/>
        <v>300000</v>
      </c>
      <c r="C790" s="13">
        <f t="shared" si="49"/>
        <v>550000</v>
      </c>
      <c r="G790" s="33">
        <v>7121.0669270912813</v>
      </c>
      <c r="H790" s="13">
        <f t="shared" si="50"/>
        <v>300000</v>
      </c>
      <c r="I790" s="13">
        <f t="shared" si="51"/>
        <v>-1525.3151036103372</v>
      </c>
    </row>
    <row r="791" spans="1:9" x14ac:dyDescent="0.25">
      <c r="A791" s="33">
        <v>14410.962248603779</v>
      </c>
      <c r="B791">
        <f t="shared" si="48"/>
        <v>300000</v>
      </c>
      <c r="C791" s="13">
        <f t="shared" si="49"/>
        <v>508767.35740226449</v>
      </c>
      <c r="G791" s="33">
        <v>5410.9622486037788</v>
      </c>
      <c r="H791" s="13">
        <f t="shared" si="50"/>
        <v>270548.11243018892</v>
      </c>
      <c r="I791" s="13">
        <f t="shared" si="51"/>
        <v>-121232.64259773551</v>
      </c>
    </row>
    <row r="792" spans="1:9" x14ac:dyDescent="0.25">
      <c r="A792" s="33">
        <v>15176.824243903928</v>
      </c>
      <c r="B792">
        <f t="shared" si="48"/>
        <v>300000</v>
      </c>
      <c r="C792" s="13">
        <f t="shared" si="49"/>
        <v>550000</v>
      </c>
      <c r="G792" s="33">
        <v>6176.8242439039277</v>
      </c>
      <c r="H792" s="13">
        <f t="shared" si="50"/>
        <v>300000</v>
      </c>
      <c r="I792" s="13">
        <f t="shared" si="51"/>
        <v>-67622.302926725068</v>
      </c>
    </row>
    <row r="793" spans="1:9" x14ac:dyDescent="0.25">
      <c r="A793" s="33">
        <v>13547.135837885678</v>
      </c>
      <c r="B793">
        <f t="shared" si="48"/>
        <v>300000</v>
      </c>
      <c r="C793" s="13">
        <f t="shared" si="49"/>
        <v>448299.50865199754</v>
      </c>
      <c r="G793" s="33">
        <v>4547.1358378856776</v>
      </c>
      <c r="H793" s="13">
        <f t="shared" si="50"/>
        <v>227356.79189428387</v>
      </c>
      <c r="I793" s="13">
        <f t="shared" si="51"/>
        <v>-181700.49134800257</v>
      </c>
    </row>
    <row r="794" spans="1:9" x14ac:dyDescent="0.25">
      <c r="A794" s="33">
        <v>16205.603198339792</v>
      </c>
      <c r="B794">
        <f t="shared" si="48"/>
        <v>300000</v>
      </c>
      <c r="C794" s="13">
        <f t="shared" si="49"/>
        <v>550000</v>
      </c>
      <c r="G794" s="33">
        <v>7205.6031983397925</v>
      </c>
      <c r="H794" s="13">
        <f t="shared" si="50"/>
        <v>300000</v>
      </c>
      <c r="I794" s="13">
        <f t="shared" si="51"/>
        <v>4392.223883785482</v>
      </c>
    </row>
    <row r="795" spans="1:9" x14ac:dyDescent="0.25">
      <c r="A795" s="33">
        <v>13103.244117557299</v>
      </c>
      <c r="B795">
        <f t="shared" si="48"/>
        <v>300000</v>
      </c>
      <c r="C795" s="13">
        <f t="shared" si="49"/>
        <v>417227.08822901093</v>
      </c>
      <c r="G795" s="33">
        <v>4103.2441175572985</v>
      </c>
      <c r="H795" s="13">
        <f t="shared" si="50"/>
        <v>205162.20587786494</v>
      </c>
      <c r="I795" s="13">
        <f t="shared" si="51"/>
        <v>-212772.91177098913</v>
      </c>
    </row>
    <row r="796" spans="1:9" x14ac:dyDescent="0.25">
      <c r="A796" s="33">
        <v>15747.825556199836</v>
      </c>
      <c r="B796">
        <f t="shared" si="48"/>
        <v>300000</v>
      </c>
      <c r="C796" s="13">
        <f t="shared" si="49"/>
        <v>550000</v>
      </c>
      <c r="G796" s="33">
        <v>6747.8255561998358</v>
      </c>
      <c r="H796" s="13">
        <f t="shared" si="50"/>
        <v>300000</v>
      </c>
      <c r="I796" s="13">
        <f t="shared" si="51"/>
        <v>-27652.211066011514</v>
      </c>
    </row>
    <row r="797" spans="1:9" x14ac:dyDescent="0.25">
      <c r="A797" s="33">
        <v>16431.592761009553</v>
      </c>
      <c r="B797">
        <f t="shared" si="48"/>
        <v>300000</v>
      </c>
      <c r="C797" s="13">
        <f t="shared" si="49"/>
        <v>550000</v>
      </c>
      <c r="G797" s="33">
        <v>7431.5927610095523</v>
      </c>
      <c r="H797" s="13">
        <f t="shared" si="50"/>
        <v>300000</v>
      </c>
      <c r="I797" s="13">
        <f t="shared" si="51"/>
        <v>20211.493270668667</v>
      </c>
    </row>
    <row r="798" spans="1:9" x14ac:dyDescent="0.25">
      <c r="A798" s="33">
        <v>15137.913144322032</v>
      </c>
      <c r="B798">
        <f t="shared" si="48"/>
        <v>300000</v>
      </c>
      <c r="C798" s="13">
        <f t="shared" si="49"/>
        <v>550000</v>
      </c>
      <c r="G798" s="33">
        <v>6137.9131443220322</v>
      </c>
      <c r="H798" s="13">
        <f t="shared" si="50"/>
        <v>300000</v>
      </c>
      <c r="I798" s="13">
        <f t="shared" si="51"/>
        <v>-70346.079897457734</v>
      </c>
    </row>
    <row r="799" spans="1:9" x14ac:dyDescent="0.25">
      <c r="A799" s="33">
        <v>14418.897061067537</v>
      </c>
      <c r="B799">
        <f t="shared" si="48"/>
        <v>300000</v>
      </c>
      <c r="C799" s="13">
        <f t="shared" si="49"/>
        <v>509322.79427472758</v>
      </c>
      <c r="G799" s="33">
        <v>5418.8970610675369</v>
      </c>
      <c r="H799" s="13">
        <f t="shared" si="50"/>
        <v>270944.85305337684</v>
      </c>
      <c r="I799" s="13">
        <f t="shared" si="51"/>
        <v>-120677.20572527242</v>
      </c>
    </row>
    <row r="800" spans="1:9" x14ac:dyDescent="0.25">
      <c r="A800" s="33">
        <v>14856.074709311197</v>
      </c>
      <c r="B800">
        <f t="shared" si="48"/>
        <v>300000</v>
      </c>
      <c r="C800" s="13">
        <f t="shared" si="49"/>
        <v>539925.22965178383</v>
      </c>
      <c r="G800" s="33">
        <v>5856.0747093111968</v>
      </c>
      <c r="H800" s="13">
        <f t="shared" si="50"/>
        <v>292803.73546555982</v>
      </c>
      <c r="I800" s="13">
        <f t="shared" si="51"/>
        <v>-90074.770348216232</v>
      </c>
    </row>
    <row r="801" spans="1:9" x14ac:dyDescent="0.25">
      <c r="A801" s="33">
        <v>12763.725699636831</v>
      </c>
      <c r="B801">
        <f t="shared" si="48"/>
        <v>300000</v>
      </c>
      <c r="C801" s="13">
        <f t="shared" si="49"/>
        <v>393460.79897457815</v>
      </c>
      <c r="G801" s="33">
        <v>3763.7256996368296</v>
      </c>
      <c r="H801" s="13">
        <f t="shared" si="50"/>
        <v>188186.28498184148</v>
      </c>
      <c r="I801" s="13">
        <f t="shared" si="51"/>
        <v>-236539.20102542191</v>
      </c>
    </row>
    <row r="802" spans="1:9" x14ac:dyDescent="0.25">
      <c r="A802" s="33">
        <v>16702.597125156408</v>
      </c>
      <c r="B802">
        <f t="shared" si="48"/>
        <v>300000</v>
      </c>
      <c r="C802" s="13">
        <f t="shared" si="49"/>
        <v>550000</v>
      </c>
      <c r="G802" s="33">
        <v>7702.5971251564079</v>
      </c>
      <c r="H802" s="13">
        <f t="shared" si="50"/>
        <v>300000</v>
      </c>
      <c r="I802" s="13">
        <f t="shared" si="51"/>
        <v>39181.798760948586</v>
      </c>
    </row>
    <row r="803" spans="1:9" x14ac:dyDescent="0.25">
      <c r="A803" s="33">
        <v>13441.694387646108</v>
      </c>
      <c r="B803">
        <f t="shared" si="48"/>
        <v>300000</v>
      </c>
      <c r="C803" s="13">
        <f t="shared" si="49"/>
        <v>440918.60713522753</v>
      </c>
      <c r="G803" s="33">
        <v>4441.6943876461073</v>
      </c>
      <c r="H803" s="13">
        <f t="shared" si="50"/>
        <v>222084.71938230537</v>
      </c>
      <c r="I803" s="13">
        <f t="shared" si="51"/>
        <v>-189081.39286477247</v>
      </c>
    </row>
    <row r="804" spans="1:9" x14ac:dyDescent="0.25">
      <c r="A804" s="33">
        <v>15435.773796807764</v>
      </c>
      <c r="B804">
        <f t="shared" si="48"/>
        <v>300000</v>
      </c>
      <c r="C804" s="13">
        <f t="shared" si="49"/>
        <v>550000</v>
      </c>
      <c r="G804" s="33">
        <v>6435.7737968077636</v>
      </c>
      <c r="H804" s="13">
        <f t="shared" si="50"/>
        <v>300000</v>
      </c>
      <c r="I804" s="13">
        <f t="shared" si="51"/>
        <v>-49495.834223456564</v>
      </c>
    </row>
    <row r="805" spans="1:9" x14ac:dyDescent="0.25">
      <c r="A805" s="33">
        <v>16684.286019470808</v>
      </c>
      <c r="B805">
        <f t="shared" si="48"/>
        <v>300000</v>
      </c>
      <c r="C805" s="13">
        <f t="shared" si="49"/>
        <v>550000</v>
      </c>
      <c r="G805" s="33">
        <v>7684.2860194708092</v>
      </c>
      <c r="H805" s="13">
        <f t="shared" si="50"/>
        <v>300000</v>
      </c>
      <c r="I805" s="13">
        <f t="shared" si="51"/>
        <v>37900.021362956613</v>
      </c>
    </row>
    <row r="806" spans="1:9" x14ac:dyDescent="0.25">
      <c r="A806" s="33">
        <v>12151.982177190466</v>
      </c>
      <c r="B806">
        <f t="shared" si="48"/>
        <v>300000</v>
      </c>
      <c r="C806" s="13">
        <f t="shared" si="49"/>
        <v>350638.75240333262</v>
      </c>
      <c r="G806" s="33">
        <v>3151.9821771904662</v>
      </c>
      <c r="H806" s="13">
        <f t="shared" si="50"/>
        <v>157599.10885952332</v>
      </c>
      <c r="I806" s="13">
        <f t="shared" si="51"/>
        <v>-279361.24759666738</v>
      </c>
    </row>
    <row r="807" spans="1:9" x14ac:dyDescent="0.25">
      <c r="A807" s="33">
        <v>12891.750846888637</v>
      </c>
      <c r="B807">
        <f t="shared" si="48"/>
        <v>300000</v>
      </c>
      <c r="C807" s="13">
        <f t="shared" si="49"/>
        <v>402422.5592822046</v>
      </c>
      <c r="G807" s="33">
        <v>3891.7508468886381</v>
      </c>
      <c r="H807" s="13">
        <f t="shared" si="50"/>
        <v>194587.54234443192</v>
      </c>
      <c r="I807" s="13">
        <f t="shared" si="51"/>
        <v>-227577.44071779534</v>
      </c>
    </row>
    <row r="808" spans="1:9" x14ac:dyDescent="0.25">
      <c r="A808" s="33">
        <v>12395.214697714164</v>
      </c>
      <c r="B808">
        <f t="shared" si="48"/>
        <v>300000</v>
      </c>
      <c r="C808" s="13">
        <f t="shared" si="49"/>
        <v>367665.02883999143</v>
      </c>
      <c r="G808" s="33">
        <v>3395.2146977141638</v>
      </c>
      <c r="H808" s="13">
        <f t="shared" si="50"/>
        <v>169760.7348857082</v>
      </c>
      <c r="I808" s="13">
        <f t="shared" si="51"/>
        <v>-262334.97116000857</v>
      </c>
    </row>
    <row r="809" spans="1:9" x14ac:dyDescent="0.25">
      <c r="A809" s="33">
        <v>16761.040070802941</v>
      </c>
      <c r="B809">
        <f t="shared" si="48"/>
        <v>300000</v>
      </c>
      <c r="C809" s="13">
        <f t="shared" si="49"/>
        <v>550000</v>
      </c>
      <c r="G809" s="33">
        <v>7761.040070802942</v>
      </c>
      <c r="H809" s="13">
        <f t="shared" si="50"/>
        <v>300000</v>
      </c>
      <c r="I809" s="13">
        <f t="shared" si="51"/>
        <v>43272.804956205888</v>
      </c>
    </row>
    <row r="810" spans="1:9" x14ac:dyDescent="0.25">
      <c r="A810" s="33">
        <v>13402.478102969451</v>
      </c>
      <c r="B810">
        <f t="shared" si="48"/>
        <v>300000</v>
      </c>
      <c r="C810" s="13">
        <f t="shared" si="49"/>
        <v>438173.4672078616</v>
      </c>
      <c r="G810" s="33">
        <v>4402.4781029694514</v>
      </c>
      <c r="H810" s="13">
        <f t="shared" si="50"/>
        <v>220123.90514847258</v>
      </c>
      <c r="I810" s="13">
        <f t="shared" si="51"/>
        <v>-191826.5327921384</v>
      </c>
    </row>
    <row r="811" spans="1:9" x14ac:dyDescent="0.25">
      <c r="A811" s="33">
        <v>16661.244544816433</v>
      </c>
      <c r="B811">
        <f t="shared" si="48"/>
        <v>300000</v>
      </c>
      <c r="C811" s="13">
        <f t="shared" si="49"/>
        <v>550000</v>
      </c>
      <c r="G811" s="33">
        <v>7661.2445448164317</v>
      </c>
      <c r="H811" s="13">
        <f t="shared" si="50"/>
        <v>300000</v>
      </c>
      <c r="I811" s="13">
        <f t="shared" si="51"/>
        <v>36287.118137150188</v>
      </c>
    </row>
    <row r="812" spans="1:9" x14ac:dyDescent="0.25">
      <c r="A812" s="33">
        <v>12635.547959837642</v>
      </c>
      <c r="B812">
        <f t="shared" si="48"/>
        <v>300000</v>
      </c>
      <c r="C812" s="13">
        <f t="shared" si="49"/>
        <v>384488.35718863492</v>
      </c>
      <c r="G812" s="33">
        <v>3635.5479598376414</v>
      </c>
      <c r="H812" s="13">
        <f t="shared" si="50"/>
        <v>181777.39799188208</v>
      </c>
      <c r="I812" s="13">
        <f t="shared" si="51"/>
        <v>-245511.64281136511</v>
      </c>
    </row>
    <row r="813" spans="1:9" x14ac:dyDescent="0.25">
      <c r="A813" s="33">
        <v>14060.45716727195</v>
      </c>
      <c r="B813">
        <f t="shared" si="48"/>
        <v>300000</v>
      </c>
      <c r="C813" s="13">
        <f t="shared" si="49"/>
        <v>484232.00170903653</v>
      </c>
      <c r="G813" s="33">
        <v>5060.4571672719503</v>
      </c>
      <c r="H813" s="13">
        <f t="shared" si="50"/>
        <v>253022.85836359751</v>
      </c>
      <c r="I813" s="13">
        <f t="shared" si="51"/>
        <v>-145767.99829096347</v>
      </c>
    </row>
    <row r="814" spans="1:9" x14ac:dyDescent="0.25">
      <c r="A814" s="33">
        <v>14443.922238837855</v>
      </c>
      <c r="B814">
        <f t="shared" si="48"/>
        <v>300000</v>
      </c>
      <c r="C814" s="13">
        <f t="shared" si="49"/>
        <v>511074.55671864981</v>
      </c>
      <c r="G814" s="33">
        <v>5443.9222388378548</v>
      </c>
      <c r="H814" s="13">
        <f t="shared" si="50"/>
        <v>272196.11194189277</v>
      </c>
      <c r="I814" s="13">
        <f t="shared" si="51"/>
        <v>-118925.44328135019</v>
      </c>
    </row>
    <row r="815" spans="1:9" x14ac:dyDescent="0.25">
      <c r="A815" s="33">
        <v>13710.409863582263</v>
      </c>
      <c r="B815">
        <f t="shared" si="48"/>
        <v>300000</v>
      </c>
      <c r="C815" s="13">
        <f t="shared" si="49"/>
        <v>459728.69045075844</v>
      </c>
      <c r="G815" s="33">
        <v>4710.4098635822629</v>
      </c>
      <c r="H815" s="13">
        <f t="shared" si="50"/>
        <v>235520.49317911314</v>
      </c>
      <c r="I815" s="13">
        <f t="shared" si="51"/>
        <v>-170271.30954924162</v>
      </c>
    </row>
    <row r="816" spans="1:9" x14ac:dyDescent="0.25">
      <c r="A816" s="33">
        <v>13984.160893581957</v>
      </c>
      <c r="B816">
        <f t="shared" si="48"/>
        <v>300000</v>
      </c>
      <c r="C816" s="13">
        <f t="shared" si="49"/>
        <v>478891.26255073701</v>
      </c>
      <c r="G816" s="33">
        <v>4984.1608935819577</v>
      </c>
      <c r="H816" s="13">
        <f t="shared" si="50"/>
        <v>249208.04467909789</v>
      </c>
      <c r="I816" s="13">
        <f t="shared" si="51"/>
        <v>-151108.73744926299</v>
      </c>
    </row>
    <row r="817" spans="1:9" x14ac:dyDescent="0.25">
      <c r="A817" s="33">
        <v>13472.518082216864</v>
      </c>
      <c r="B817">
        <f t="shared" si="48"/>
        <v>300000</v>
      </c>
      <c r="C817" s="13">
        <f t="shared" si="49"/>
        <v>443076.2657551805</v>
      </c>
      <c r="G817" s="33">
        <v>4472.5180822168641</v>
      </c>
      <c r="H817" s="13">
        <f t="shared" si="50"/>
        <v>223625.9041108432</v>
      </c>
      <c r="I817" s="13">
        <f t="shared" si="51"/>
        <v>-186923.7342448195</v>
      </c>
    </row>
    <row r="818" spans="1:9" x14ac:dyDescent="0.25">
      <c r="A818" s="33">
        <v>12993.072298348949</v>
      </c>
      <c r="B818">
        <f t="shared" si="48"/>
        <v>300000</v>
      </c>
      <c r="C818" s="13">
        <f t="shared" si="49"/>
        <v>409515.06088442635</v>
      </c>
      <c r="G818" s="33">
        <v>3993.0722983489486</v>
      </c>
      <c r="H818" s="13">
        <f t="shared" si="50"/>
        <v>199653.61491744744</v>
      </c>
      <c r="I818" s="13">
        <f t="shared" si="51"/>
        <v>-220484.93911557359</v>
      </c>
    </row>
    <row r="819" spans="1:9" x14ac:dyDescent="0.25">
      <c r="A819" s="33">
        <v>16233.98541215247</v>
      </c>
      <c r="B819">
        <f t="shared" si="48"/>
        <v>300000</v>
      </c>
      <c r="C819" s="13">
        <f t="shared" si="49"/>
        <v>550000</v>
      </c>
      <c r="G819" s="33">
        <v>7233.9854121524704</v>
      </c>
      <c r="H819" s="13">
        <f t="shared" si="50"/>
        <v>300000</v>
      </c>
      <c r="I819" s="13">
        <f t="shared" si="51"/>
        <v>6378.9788506729528</v>
      </c>
    </row>
    <row r="820" spans="1:9" x14ac:dyDescent="0.25">
      <c r="A820" s="33">
        <v>16325.693533127842</v>
      </c>
      <c r="B820">
        <f t="shared" si="48"/>
        <v>300000</v>
      </c>
      <c r="C820" s="13">
        <f t="shared" si="49"/>
        <v>550000</v>
      </c>
      <c r="G820" s="33">
        <v>7325.6935331278419</v>
      </c>
      <c r="H820" s="13">
        <f t="shared" si="50"/>
        <v>300000</v>
      </c>
      <c r="I820" s="13">
        <f t="shared" si="51"/>
        <v>12798.547318948957</v>
      </c>
    </row>
    <row r="821" spans="1:9" x14ac:dyDescent="0.25">
      <c r="A821" s="33">
        <v>13441.236610003967</v>
      </c>
      <c r="B821">
        <f t="shared" si="48"/>
        <v>300000</v>
      </c>
      <c r="C821" s="13">
        <f t="shared" si="49"/>
        <v>440886.56270027766</v>
      </c>
      <c r="G821" s="33">
        <v>4441.2366100039671</v>
      </c>
      <c r="H821" s="13">
        <f t="shared" si="50"/>
        <v>222061.83050019835</v>
      </c>
      <c r="I821" s="13">
        <f t="shared" si="51"/>
        <v>-189113.43729972228</v>
      </c>
    </row>
    <row r="822" spans="1:9" x14ac:dyDescent="0.25">
      <c r="A822" s="33">
        <v>16922.177800836209</v>
      </c>
      <c r="B822">
        <f t="shared" si="48"/>
        <v>300000</v>
      </c>
      <c r="C822" s="13">
        <f t="shared" si="49"/>
        <v>550000</v>
      </c>
      <c r="G822" s="33">
        <v>7922.1778008362071</v>
      </c>
      <c r="H822" s="13">
        <f t="shared" si="50"/>
        <v>300000</v>
      </c>
      <c r="I822" s="13">
        <f t="shared" si="51"/>
        <v>54552.446058534551</v>
      </c>
    </row>
    <row r="823" spans="1:9" x14ac:dyDescent="0.25">
      <c r="A823" s="33">
        <v>13497.848445081941</v>
      </c>
      <c r="B823">
        <f t="shared" si="48"/>
        <v>300000</v>
      </c>
      <c r="C823" s="13">
        <f t="shared" si="49"/>
        <v>444849.39115573594</v>
      </c>
      <c r="G823" s="33">
        <v>4497.8484450819424</v>
      </c>
      <c r="H823" s="13">
        <f t="shared" si="50"/>
        <v>224892.42225409712</v>
      </c>
      <c r="I823" s="13">
        <f t="shared" si="51"/>
        <v>-185150.60884426406</v>
      </c>
    </row>
    <row r="824" spans="1:9" x14ac:dyDescent="0.25">
      <c r="A824" s="33">
        <v>15711.203344828638</v>
      </c>
      <c r="B824">
        <f t="shared" si="48"/>
        <v>300000</v>
      </c>
      <c r="C824" s="13">
        <f t="shared" si="49"/>
        <v>550000</v>
      </c>
      <c r="G824" s="33">
        <v>6711.2033448286384</v>
      </c>
      <c r="H824" s="13">
        <f t="shared" si="50"/>
        <v>300000</v>
      </c>
      <c r="I824" s="13">
        <f t="shared" si="51"/>
        <v>-30215.765861995285</v>
      </c>
    </row>
    <row r="825" spans="1:9" x14ac:dyDescent="0.25">
      <c r="A825" s="33">
        <v>16762.565996276742</v>
      </c>
      <c r="B825">
        <f t="shared" si="48"/>
        <v>300000</v>
      </c>
      <c r="C825" s="13">
        <f t="shared" si="49"/>
        <v>550000</v>
      </c>
      <c r="G825" s="33">
        <v>7762.5659962767422</v>
      </c>
      <c r="H825" s="13">
        <f t="shared" si="50"/>
        <v>300000</v>
      </c>
      <c r="I825" s="13">
        <f t="shared" si="51"/>
        <v>43379.619739371934</v>
      </c>
    </row>
    <row r="826" spans="1:9" x14ac:dyDescent="0.25">
      <c r="A826" s="33">
        <v>12494.552446058535</v>
      </c>
      <c r="B826">
        <f t="shared" si="48"/>
        <v>300000</v>
      </c>
      <c r="C826" s="13">
        <f t="shared" si="49"/>
        <v>374618.67122409749</v>
      </c>
      <c r="G826" s="33">
        <v>3494.5524460585348</v>
      </c>
      <c r="H826" s="13">
        <f t="shared" si="50"/>
        <v>174727.62230292673</v>
      </c>
      <c r="I826" s="13">
        <f t="shared" si="51"/>
        <v>-255381.32877590257</v>
      </c>
    </row>
    <row r="827" spans="1:9" x14ac:dyDescent="0.25">
      <c r="A827" s="33">
        <v>15259.071626941741</v>
      </c>
      <c r="B827">
        <f t="shared" si="48"/>
        <v>300000</v>
      </c>
      <c r="C827" s="13">
        <f t="shared" si="49"/>
        <v>550000</v>
      </c>
      <c r="G827" s="33">
        <v>6259.0716269417408</v>
      </c>
      <c r="H827" s="13">
        <f t="shared" si="50"/>
        <v>300000</v>
      </c>
      <c r="I827" s="13">
        <f t="shared" si="51"/>
        <v>-61864.986114078143</v>
      </c>
    </row>
    <row r="828" spans="1:9" x14ac:dyDescent="0.25">
      <c r="A828" s="33">
        <v>14728.20215460677</v>
      </c>
      <c r="B828">
        <f t="shared" si="48"/>
        <v>300000</v>
      </c>
      <c r="C828" s="13">
        <f t="shared" si="49"/>
        <v>530974.15082247392</v>
      </c>
      <c r="G828" s="33">
        <v>5728.202154606769</v>
      </c>
      <c r="H828" s="13">
        <f t="shared" si="50"/>
        <v>286410.10773033847</v>
      </c>
      <c r="I828" s="13">
        <f t="shared" si="51"/>
        <v>-99025.849177526194</v>
      </c>
    </row>
    <row r="829" spans="1:9" x14ac:dyDescent="0.25">
      <c r="A829" s="33">
        <v>12600.756859035006</v>
      </c>
      <c r="B829">
        <f t="shared" si="48"/>
        <v>300000</v>
      </c>
      <c r="C829" s="13">
        <f t="shared" si="49"/>
        <v>382052.98013245035</v>
      </c>
      <c r="G829" s="33">
        <v>3600.7568590350047</v>
      </c>
      <c r="H829" s="13">
        <f t="shared" si="50"/>
        <v>180037.84295175024</v>
      </c>
      <c r="I829" s="13">
        <f t="shared" si="51"/>
        <v>-247947.01986754968</v>
      </c>
    </row>
    <row r="830" spans="1:9" x14ac:dyDescent="0.25">
      <c r="A830" s="33">
        <v>13938.535721915341</v>
      </c>
      <c r="B830">
        <f t="shared" si="48"/>
        <v>300000</v>
      </c>
      <c r="C830" s="13">
        <f t="shared" si="49"/>
        <v>475697.50053407392</v>
      </c>
      <c r="G830" s="33">
        <v>4938.535721915342</v>
      </c>
      <c r="H830" s="13">
        <f t="shared" si="50"/>
        <v>246926.78609576711</v>
      </c>
      <c r="I830" s="13">
        <f t="shared" si="51"/>
        <v>-154302.49946592608</v>
      </c>
    </row>
    <row r="831" spans="1:9" x14ac:dyDescent="0.25">
      <c r="A831" s="33">
        <v>16169.896542252876</v>
      </c>
      <c r="B831">
        <f t="shared" si="48"/>
        <v>300000</v>
      </c>
      <c r="C831" s="13">
        <f t="shared" si="49"/>
        <v>550000</v>
      </c>
      <c r="G831" s="33">
        <v>7169.8965422528763</v>
      </c>
      <c r="H831" s="13">
        <f t="shared" si="50"/>
        <v>300000</v>
      </c>
      <c r="I831" s="13">
        <f t="shared" si="51"/>
        <v>1892.7579577013385</v>
      </c>
    </row>
    <row r="832" spans="1:9" x14ac:dyDescent="0.25">
      <c r="A832" s="33">
        <v>14910.245063631093</v>
      </c>
      <c r="B832">
        <f t="shared" si="48"/>
        <v>300000</v>
      </c>
      <c r="C832" s="13">
        <f t="shared" si="49"/>
        <v>543717.15445417655</v>
      </c>
      <c r="G832" s="33">
        <v>5910.2450636310923</v>
      </c>
      <c r="H832" s="13">
        <f t="shared" si="50"/>
        <v>295512.25318155461</v>
      </c>
      <c r="I832" s="13">
        <f t="shared" si="51"/>
        <v>-86282.845545823511</v>
      </c>
    </row>
    <row r="833" spans="1:9" x14ac:dyDescent="0.25">
      <c r="A833" s="33">
        <v>12383.159886471145</v>
      </c>
      <c r="B833">
        <f t="shared" si="48"/>
        <v>300000</v>
      </c>
      <c r="C833" s="13">
        <f t="shared" si="49"/>
        <v>366821.19205298019</v>
      </c>
      <c r="G833" s="33">
        <v>3383.159886471145</v>
      </c>
      <c r="H833" s="13">
        <f t="shared" si="50"/>
        <v>169157.99432355724</v>
      </c>
      <c r="I833" s="13">
        <f t="shared" si="51"/>
        <v>-263178.80794701981</v>
      </c>
    </row>
    <row r="834" spans="1:9" x14ac:dyDescent="0.25">
      <c r="A834" s="33">
        <v>16389.019440290536</v>
      </c>
      <c r="B834">
        <f t="shared" si="48"/>
        <v>300000</v>
      </c>
      <c r="C834" s="13">
        <f t="shared" si="49"/>
        <v>550000</v>
      </c>
      <c r="G834" s="33">
        <v>7389.0194402905363</v>
      </c>
      <c r="H834" s="13">
        <f t="shared" si="50"/>
        <v>300000</v>
      </c>
      <c r="I834" s="13">
        <f t="shared" si="51"/>
        <v>17231.360820337548</v>
      </c>
    </row>
    <row r="835" spans="1:9" x14ac:dyDescent="0.25">
      <c r="A835" s="33">
        <v>15075.807977538378</v>
      </c>
      <c r="B835">
        <f t="shared" si="48"/>
        <v>300000</v>
      </c>
      <c r="C835" s="13">
        <f t="shared" si="49"/>
        <v>550000</v>
      </c>
      <c r="G835" s="33">
        <v>6075.8079775383767</v>
      </c>
      <c r="H835" s="13">
        <f t="shared" si="50"/>
        <v>300000</v>
      </c>
      <c r="I835" s="13">
        <f t="shared" si="51"/>
        <v>-74693.441572313604</v>
      </c>
    </row>
    <row r="836" spans="1:9" x14ac:dyDescent="0.25">
      <c r="A836" s="33">
        <v>14469.557786797694</v>
      </c>
      <c r="B836">
        <f t="shared" si="48"/>
        <v>300000</v>
      </c>
      <c r="C836" s="13">
        <f t="shared" si="49"/>
        <v>512869.04507583857</v>
      </c>
      <c r="G836" s="33">
        <v>5469.5577867976926</v>
      </c>
      <c r="H836" s="13">
        <f t="shared" si="50"/>
        <v>273477.88933988463</v>
      </c>
      <c r="I836" s="13">
        <f t="shared" si="51"/>
        <v>-117130.95492416149</v>
      </c>
    </row>
    <row r="837" spans="1:9" x14ac:dyDescent="0.25">
      <c r="A837" s="33">
        <v>14727.13400677511</v>
      </c>
      <c r="B837">
        <f t="shared" si="48"/>
        <v>300000</v>
      </c>
      <c r="C837" s="13">
        <f t="shared" si="49"/>
        <v>530899.38047425763</v>
      </c>
      <c r="G837" s="33">
        <v>5727.1340067751098</v>
      </c>
      <c r="H837" s="13">
        <f t="shared" si="50"/>
        <v>286356.7003387555</v>
      </c>
      <c r="I837" s="13">
        <f t="shared" si="51"/>
        <v>-99100.61952574231</v>
      </c>
    </row>
    <row r="838" spans="1:9" x14ac:dyDescent="0.25">
      <c r="A838" s="33">
        <v>16730.826746421706</v>
      </c>
      <c r="B838">
        <f t="shared" si="48"/>
        <v>300000</v>
      </c>
      <c r="C838" s="13">
        <f t="shared" si="49"/>
        <v>550000</v>
      </c>
      <c r="G838" s="33">
        <v>7730.8267464217042</v>
      </c>
      <c r="H838" s="13">
        <f t="shared" si="50"/>
        <v>300000</v>
      </c>
      <c r="I838" s="13">
        <f t="shared" si="51"/>
        <v>41157.872249519336</v>
      </c>
    </row>
    <row r="839" spans="1:9" x14ac:dyDescent="0.25">
      <c r="A839" s="33">
        <v>15611.560411389508</v>
      </c>
      <c r="B839">
        <f t="shared" si="48"/>
        <v>300000</v>
      </c>
      <c r="C839" s="13">
        <f t="shared" si="49"/>
        <v>550000</v>
      </c>
      <c r="G839" s="33">
        <v>6611.5604113895079</v>
      </c>
      <c r="H839" s="13">
        <f t="shared" si="50"/>
        <v>300000</v>
      </c>
      <c r="I839" s="13">
        <f t="shared" si="51"/>
        <v>-37190.771202734439</v>
      </c>
    </row>
    <row r="840" spans="1:9" x14ac:dyDescent="0.25">
      <c r="A840" s="33">
        <v>12133.518478957487</v>
      </c>
      <c r="B840">
        <f t="shared" si="48"/>
        <v>300000</v>
      </c>
      <c r="C840" s="13">
        <f t="shared" si="49"/>
        <v>349346.2935270241</v>
      </c>
      <c r="G840" s="33">
        <v>3133.5184789574878</v>
      </c>
      <c r="H840" s="13">
        <f t="shared" si="50"/>
        <v>156675.9239478744</v>
      </c>
      <c r="I840" s="13">
        <f t="shared" si="51"/>
        <v>-280653.70647297584</v>
      </c>
    </row>
    <row r="841" spans="1:9" x14ac:dyDescent="0.25">
      <c r="A841" s="33">
        <v>12056.611835077974</v>
      </c>
      <c r="B841">
        <f t="shared" si="48"/>
        <v>300000</v>
      </c>
      <c r="C841" s="13">
        <f t="shared" si="49"/>
        <v>343962.82845545816</v>
      </c>
      <c r="G841" s="33">
        <v>3056.6118350779748</v>
      </c>
      <c r="H841" s="13">
        <f t="shared" si="50"/>
        <v>152830.59175389874</v>
      </c>
      <c r="I841" s="13">
        <f t="shared" si="51"/>
        <v>-286037.17154454178</v>
      </c>
    </row>
    <row r="842" spans="1:9" x14ac:dyDescent="0.25">
      <c r="A842" s="33">
        <v>14373.577074495683</v>
      </c>
      <c r="B842">
        <f t="shared" si="48"/>
        <v>300000</v>
      </c>
      <c r="C842" s="13">
        <f t="shared" si="49"/>
        <v>506150.39521469781</v>
      </c>
      <c r="G842" s="33">
        <v>5373.5770744956817</v>
      </c>
      <c r="H842" s="13">
        <f t="shared" si="50"/>
        <v>268678.8537247841</v>
      </c>
      <c r="I842" s="13">
        <f t="shared" si="51"/>
        <v>-123849.6047853023</v>
      </c>
    </row>
    <row r="843" spans="1:9" x14ac:dyDescent="0.25">
      <c r="A843" s="33">
        <v>12002.2888882107</v>
      </c>
      <c r="B843">
        <f t="shared" ref="B843:B906" si="52">MIN(A843,6000)*50</f>
        <v>300000</v>
      </c>
      <c r="C843" s="13">
        <f t="shared" ref="C843:C906" si="53">MIN(A843,$C$3)*$C$6-500000</f>
        <v>340160.22217474901</v>
      </c>
      <c r="G843" s="33">
        <v>3002.2888882107</v>
      </c>
      <c r="H843" s="13">
        <f t="shared" ref="H843:H906" si="54">MIN(G843,6000)*50</f>
        <v>150114.44441053498</v>
      </c>
      <c r="I843" s="13">
        <f t="shared" ref="I843:I906" si="55">MIN(G843,15000)*70-500000</f>
        <v>-289839.77782525099</v>
      </c>
    </row>
    <row r="844" spans="1:9" x14ac:dyDescent="0.25">
      <c r="A844" s="33">
        <v>15365.12344737083</v>
      </c>
      <c r="B844">
        <f t="shared" si="52"/>
        <v>300000</v>
      </c>
      <c r="C844" s="13">
        <f t="shared" si="53"/>
        <v>550000</v>
      </c>
      <c r="G844" s="33">
        <v>6365.12344737083</v>
      </c>
      <c r="H844" s="13">
        <f t="shared" si="54"/>
        <v>300000</v>
      </c>
      <c r="I844" s="13">
        <f t="shared" si="55"/>
        <v>-54441.358684041887</v>
      </c>
    </row>
    <row r="845" spans="1:9" x14ac:dyDescent="0.25">
      <c r="A845" s="33">
        <v>14065.492721335489</v>
      </c>
      <c r="B845">
        <f t="shared" si="52"/>
        <v>300000</v>
      </c>
      <c r="C845" s="13">
        <f t="shared" si="53"/>
        <v>484584.49049348431</v>
      </c>
      <c r="G845" s="33">
        <v>5065.4927213354895</v>
      </c>
      <c r="H845" s="13">
        <f t="shared" si="54"/>
        <v>253274.63606677449</v>
      </c>
      <c r="I845" s="13">
        <f t="shared" si="55"/>
        <v>-145415.50950651575</v>
      </c>
    </row>
    <row r="846" spans="1:9" x14ac:dyDescent="0.25">
      <c r="A846" s="33">
        <v>16488.357188634909</v>
      </c>
      <c r="B846">
        <f t="shared" si="52"/>
        <v>300000</v>
      </c>
      <c r="C846" s="13">
        <f t="shared" si="53"/>
        <v>550000</v>
      </c>
      <c r="G846" s="33">
        <v>7488.3571886349073</v>
      </c>
      <c r="H846" s="13">
        <f t="shared" si="54"/>
        <v>300000</v>
      </c>
      <c r="I846" s="13">
        <f t="shared" si="55"/>
        <v>24185.003204443492</v>
      </c>
    </row>
    <row r="847" spans="1:9" x14ac:dyDescent="0.25">
      <c r="A847" s="33">
        <v>16477.370525223549</v>
      </c>
      <c r="B847">
        <f t="shared" si="52"/>
        <v>300000</v>
      </c>
      <c r="C847" s="13">
        <f t="shared" si="53"/>
        <v>550000</v>
      </c>
      <c r="G847" s="33">
        <v>7477.3705252235477</v>
      </c>
      <c r="H847" s="13">
        <f t="shared" si="54"/>
        <v>300000</v>
      </c>
      <c r="I847" s="13">
        <f t="shared" si="55"/>
        <v>23415.936765648366</v>
      </c>
    </row>
    <row r="848" spans="1:9" x14ac:dyDescent="0.25">
      <c r="A848" s="33">
        <v>13749.62614825892</v>
      </c>
      <c r="B848">
        <f t="shared" si="52"/>
        <v>300000</v>
      </c>
      <c r="C848" s="13">
        <f t="shared" si="53"/>
        <v>462473.83037812437</v>
      </c>
      <c r="G848" s="33">
        <v>4749.6261482589189</v>
      </c>
      <c r="H848" s="13">
        <f t="shared" si="54"/>
        <v>237481.30741294596</v>
      </c>
      <c r="I848" s="13">
        <f t="shared" si="55"/>
        <v>-167526.16962187568</v>
      </c>
    </row>
    <row r="849" spans="1:9" x14ac:dyDescent="0.25">
      <c r="A849" s="33">
        <v>15681.600390636921</v>
      </c>
      <c r="B849">
        <f t="shared" si="52"/>
        <v>300000</v>
      </c>
      <c r="C849" s="13">
        <f t="shared" si="53"/>
        <v>550000</v>
      </c>
      <c r="G849" s="33">
        <v>6681.6003906369206</v>
      </c>
      <c r="H849" s="13">
        <f t="shared" si="54"/>
        <v>300000</v>
      </c>
      <c r="I849" s="13">
        <f t="shared" si="55"/>
        <v>-32287.972655415535</v>
      </c>
    </row>
    <row r="850" spans="1:9" x14ac:dyDescent="0.25">
      <c r="A850" s="33">
        <v>14740.104373302407</v>
      </c>
      <c r="B850">
        <f t="shared" si="52"/>
        <v>300000</v>
      </c>
      <c r="C850" s="13">
        <f t="shared" si="53"/>
        <v>531807.3061311685</v>
      </c>
      <c r="G850" s="33">
        <v>5740.1043733024071</v>
      </c>
      <c r="H850" s="13">
        <f t="shared" si="54"/>
        <v>287005.21866512037</v>
      </c>
      <c r="I850" s="13">
        <f t="shared" si="55"/>
        <v>-98192.693868831499</v>
      </c>
    </row>
    <row r="851" spans="1:9" x14ac:dyDescent="0.25">
      <c r="A851" s="33">
        <v>12198.675496688742</v>
      </c>
      <c r="B851">
        <f t="shared" si="52"/>
        <v>300000</v>
      </c>
      <c r="C851" s="13">
        <f t="shared" si="53"/>
        <v>353907.28476821189</v>
      </c>
      <c r="G851" s="33">
        <v>3198.6754966887415</v>
      </c>
      <c r="H851" s="13">
        <f t="shared" si="54"/>
        <v>159933.77483443706</v>
      </c>
      <c r="I851" s="13">
        <f t="shared" si="55"/>
        <v>-276092.71523178811</v>
      </c>
    </row>
    <row r="852" spans="1:9" x14ac:dyDescent="0.25">
      <c r="A852" s="33">
        <v>15829.309976500748</v>
      </c>
      <c r="B852">
        <f t="shared" si="52"/>
        <v>300000</v>
      </c>
      <c r="C852" s="13">
        <f t="shared" si="53"/>
        <v>550000</v>
      </c>
      <c r="G852" s="33">
        <v>6829.3099765007482</v>
      </c>
      <c r="H852" s="13">
        <f t="shared" si="54"/>
        <v>300000</v>
      </c>
      <c r="I852" s="13">
        <f t="shared" si="55"/>
        <v>-21948.301644947613</v>
      </c>
    </row>
    <row r="853" spans="1:9" x14ac:dyDescent="0.25">
      <c r="A853" s="33">
        <v>14688.833277382733</v>
      </c>
      <c r="B853">
        <f t="shared" si="52"/>
        <v>300000</v>
      </c>
      <c r="C853" s="13">
        <f t="shared" si="53"/>
        <v>528218.32941679133</v>
      </c>
      <c r="G853" s="33">
        <v>5688.8332773827333</v>
      </c>
      <c r="H853" s="13">
        <f t="shared" si="54"/>
        <v>284441.66386913665</v>
      </c>
      <c r="I853" s="13">
        <f t="shared" si="55"/>
        <v>-101781.67058320867</v>
      </c>
    </row>
    <row r="854" spans="1:9" x14ac:dyDescent="0.25">
      <c r="A854" s="33">
        <v>13043.733024079103</v>
      </c>
      <c r="B854">
        <f t="shared" si="52"/>
        <v>300000</v>
      </c>
      <c r="C854" s="13">
        <f t="shared" si="53"/>
        <v>413061.31168553722</v>
      </c>
      <c r="G854" s="33">
        <v>4043.7330240791043</v>
      </c>
      <c r="H854" s="13">
        <f t="shared" si="54"/>
        <v>202186.6512039552</v>
      </c>
      <c r="I854" s="13">
        <f t="shared" si="55"/>
        <v>-216938.68831446272</v>
      </c>
    </row>
    <row r="855" spans="1:9" x14ac:dyDescent="0.25">
      <c r="A855" s="33">
        <v>13117.130039368878</v>
      </c>
      <c r="B855">
        <f t="shared" si="52"/>
        <v>300000</v>
      </c>
      <c r="C855" s="13">
        <f t="shared" si="53"/>
        <v>418199.10275582143</v>
      </c>
      <c r="G855" s="33">
        <v>4117.1300393688771</v>
      </c>
      <c r="H855" s="13">
        <f t="shared" si="54"/>
        <v>205856.50196844386</v>
      </c>
      <c r="I855" s="13">
        <f t="shared" si="55"/>
        <v>-211800.89724417863</v>
      </c>
    </row>
    <row r="856" spans="1:9" x14ac:dyDescent="0.25">
      <c r="A856" s="33">
        <v>15165.379802850428</v>
      </c>
      <c r="B856">
        <f t="shared" si="52"/>
        <v>300000</v>
      </c>
      <c r="C856" s="13">
        <f t="shared" si="53"/>
        <v>550000</v>
      </c>
      <c r="G856" s="33">
        <v>6165.3798028504289</v>
      </c>
      <c r="H856" s="13">
        <f t="shared" si="54"/>
        <v>300000</v>
      </c>
      <c r="I856" s="13">
        <f t="shared" si="55"/>
        <v>-68423.413800470007</v>
      </c>
    </row>
    <row r="857" spans="1:9" x14ac:dyDescent="0.25">
      <c r="A857" s="33">
        <v>16665.669728690453</v>
      </c>
      <c r="B857">
        <f t="shared" si="52"/>
        <v>300000</v>
      </c>
      <c r="C857" s="13">
        <f t="shared" si="53"/>
        <v>550000</v>
      </c>
      <c r="G857" s="33">
        <v>7665.6697286904509</v>
      </c>
      <c r="H857" s="13">
        <f t="shared" si="54"/>
        <v>300000</v>
      </c>
      <c r="I857" s="13">
        <f t="shared" si="55"/>
        <v>36596.881008331547</v>
      </c>
    </row>
    <row r="858" spans="1:9" x14ac:dyDescent="0.25">
      <c r="A858" s="33">
        <v>13378.521073030794</v>
      </c>
      <c r="B858">
        <f t="shared" si="52"/>
        <v>300000</v>
      </c>
      <c r="C858" s="13">
        <f t="shared" si="53"/>
        <v>436496.47511215555</v>
      </c>
      <c r="G858" s="33">
        <v>4378.5210730307936</v>
      </c>
      <c r="H858" s="13">
        <f t="shared" si="54"/>
        <v>218926.05365153967</v>
      </c>
      <c r="I858" s="13">
        <f t="shared" si="55"/>
        <v>-193503.52488784445</v>
      </c>
    </row>
    <row r="859" spans="1:9" x14ac:dyDescent="0.25">
      <c r="A859" s="33">
        <v>14655.110324411755</v>
      </c>
      <c r="B859">
        <f t="shared" si="52"/>
        <v>300000</v>
      </c>
      <c r="C859" s="13">
        <f t="shared" si="53"/>
        <v>525857.72270882281</v>
      </c>
      <c r="G859" s="33">
        <v>5655.1103244117558</v>
      </c>
      <c r="H859" s="13">
        <f t="shared" si="54"/>
        <v>282755.51622058777</v>
      </c>
      <c r="I859" s="13">
        <f t="shared" si="55"/>
        <v>-104142.27729117707</v>
      </c>
    </row>
    <row r="860" spans="1:9" x14ac:dyDescent="0.25">
      <c r="A860" s="33">
        <v>13911.069063386944</v>
      </c>
      <c r="B860">
        <f t="shared" si="52"/>
        <v>300000</v>
      </c>
      <c r="C860" s="13">
        <f t="shared" si="53"/>
        <v>473774.83443708601</v>
      </c>
      <c r="G860" s="33">
        <v>4911.0690633869444</v>
      </c>
      <c r="H860" s="13">
        <f t="shared" si="54"/>
        <v>245553.45316934722</v>
      </c>
      <c r="I860" s="13">
        <f t="shared" si="55"/>
        <v>-156225.16556291387</v>
      </c>
    </row>
    <row r="861" spans="1:9" x14ac:dyDescent="0.25">
      <c r="A861" s="33">
        <v>12391.552476577044</v>
      </c>
      <c r="B861">
        <f t="shared" si="52"/>
        <v>300000</v>
      </c>
      <c r="C861" s="13">
        <f t="shared" si="53"/>
        <v>367408.67336039315</v>
      </c>
      <c r="G861" s="33">
        <v>3391.5524765770438</v>
      </c>
      <c r="H861" s="13">
        <f t="shared" si="54"/>
        <v>169577.6238288522</v>
      </c>
      <c r="I861" s="13">
        <f t="shared" si="55"/>
        <v>-262591.32663960697</v>
      </c>
    </row>
    <row r="862" spans="1:9" x14ac:dyDescent="0.25">
      <c r="A862" s="33">
        <v>14189.09268471328</v>
      </c>
      <c r="B862">
        <f t="shared" si="52"/>
        <v>300000</v>
      </c>
      <c r="C862" s="13">
        <f t="shared" si="53"/>
        <v>493236.48792992951</v>
      </c>
      <c r="G862" s="33">
        <v>5189.0926847132787</v>
      </c>
      <c r="H862" s="13">
        <f t="shared" si="54"/>
        <v>259454.63423566392</v>
      </c>
      <c r="I862" s="13">
        <f t="shared" si="55"/>
        <v>-136763.51207007049</v>
      </c>
    </row>
    <row r="863" spans="1:9" x14ac:dyDescent="0.25">
      <c r="A863" s="33">
        <v>16627.674184392832</v>
      </c>
      <c r="B863">
        <f t="shared" si="52"/>
        <v>300000</v>
      </c>
      <c r="C863" s="13">
        <f t="shared" si="53"/>
        <v>550000</v>
      </c>
      <c r="G863" s="33">
        <v>7627.6741843928339</v>
      </c>
      <c r="H863" s="13">
        <f t="shared" si="54"/>
        <v>300000</v>
      </c>
      <c r="I863" s="13">
        <f t="shared" si="55"/>
        <v>33937.192907498335</v>
      </c>
    </row>
    <row r="864" spans="1:9" x14ac:dyDescent="0.25">
      <c r="A864" s="33">
        <v>14674.336985381633</v>
      </c>
      <c r="B864">
        <f t="shared" si="52"/>
        <v>300000</v>
      </c>
      <c r="C864" s="13">
        <f t="shared" si="53"/>
        <v>527203.58897671429</v>
      </c>
      <c r="G864" s="33">
        <v>5674.3369853816339</v>
      </c>
      <c r="H864" s="13">
        <f t="shared" si="54"/>
        <v>283716.84926908172</v>
      </c>
      <c r="I864" s="13">
        <f t="shared" si="55"/>
        <v>-102796.41102328565</v>
      </c>
    </row>
    <row r="865" spans="1:9" x14ac:dyDescent="0.25">
      <c r="A865" s="33">
        <v>15382.824182866909</v>
      </c>
      <c r="B865">
        <f t="shared" si="52"/>
        <v>300000</v>
      </c>
      <c r="C865" s="13">
        <f t="shared" si="53"/>
        <v>550000</v>
      </c>
      <c r="G865" s="33">
        <v>6382.8241828669088</v>
      </c>
      <c r="H865" s="13">
        <f t="shared" si="54"/>
        <v>300000</v>
      </c>
      <c r="I865" s="13">
        <f t="shared" si="55"/>
        <v>-53202.30719931639</v>
      </c>
    </row>
    <row r="866" spans="1:9" x14ac:dyDescent="0.25">
      <c r="A866" s="33">
        <v>13406.140324106571</v>
      </c>
      <c r="B866">
        <f t="shared" si="52"/>
        <v>300000</v>
      </c>
      <c r="C866" s="13">
        <f t="shared" si="53"/>
        <v>438429.82268745999</v>
      </c>
      <c r="G866" s="33">
        <v>4406.1403241065709</v>
      </c>
      <c r="H866" s="13">
        <f t="shared" si="54"/>
        <v>220307.01620532855</v>
      </c>
      <c r="I866" s="13">
        <f t="shared" si="55"/>
        <v>-191570.17731254001</v>
      </c>
    </row>
    <row r="867" spans="1:9" x14ac:dyDescent="0.25">
      <c r="A867" s="33">
        <v>12305.185094759972</v>
      </c>
      <c r="B867">
        <f t="shared" si="52"/>
        <v>300000</v>
      </c>
      <c r="C867" s="13">
        <f t="shared" si="53"/>
        <v>361362.95663319807</v>
      </c>
      <c r="G867" s="33">
        <v>3305.1850947599719</v>
      </c>
      <c r="H867" s="13">
        <f t="shared" si="54"/>
        <v>165259.25473799859</v>
      </c>
      <c r="I867" s="13">
        <f t="shared" si="55"/>
        <v>-268637.04336680193</v>
      </c>
    </row>
    <row r="868" spans="1:9" x14ac:dyDescent="0.25">
      <c r="A868" s="33">
        <v>13953.94756920072</v>
      </c>
      <c r="B868">
        <f t="shared" si="52"/>
        <v>300000</v>
      </c>
      <c r="C868" s="13">
        <f t="shared" si="53"/>
        <v>476776.32984405034</v>
      </c>
      <c r="G868" s="33">
        <v>4953.94756920072</v>
      </c>
      <c r="H868" s="13">
        <f t="shared" si="54"/>
        <v>247697.37846003601</v>
      </c>
      <c r="I868" s="13">
        <f t="shared" si="55"/>
        <v>-153223.6701559496</v>
      </c>
    </row>
    <row r="869" spans="1:9" x14ac:dyDescent="0.25">
      <c r="A869" s="33">
        <v>14709.585863826411</v>
      </c>
      <c r="B869">
        <f t="shared" si="52"/>
        <v>300000</v>
      </c>
      <c r="C869" s="13">
        <f t="shared" si="53"/>
        <v>529671.01046784874</v>
      </c>
      <c r="G869" s="33">
        <v>5709.5858638264108</v>
      </c>
      <c r="H869" s="13">
        <f t="shared" si="54"/>
        <v>285479.29319132055</v>
      </c>
      <c r="I869" s="13">
        <f t="shared" si="55"/>
        <v>-100328.98953215126</v>
      </c>
    </row>
    <row r="870" spans="1:9" x14ac:dyDescent="0.25">
      <c r="A870" s="33">
        <v>15617.511520737327</v>
      </c>
      <c r="B870">
        <f t="shared" si="52"/>
        <v>300000</v>
      </c>
      <c r="C870" s="13">
        <f t="shared" si="53"/>
        <v>550000</v>
      </c>
      <c r="G870" s="33">
        <v>6617.5115207373274</v>
      </c>
      <c r="H870" s="13">
        <f t="shared" si="54"/>
        <v>300000</v>
      </c>
      <c r="I870" s="13">
        <f t="shared" si="55"/>
        <v>-36774.193548387091</v>
      </c>
    </row>
    <row r="871" spans="1:9" x14ac:dyDescent="0.25">
      <c r="A871" s="33">
        <v>15026.520584734641</v>
      </c>
      <c r="B871">
        <f t="shared" si="52"/>
        <v>300000</v>
      </c>
      <c r="C871" s="13">
        <f t="shared" si="53"/>
        <v>550000</v>
      </c>
      <c r="G871" s="33">
        <v>6026.5205847346415</v>
      </c>
      <c r="H871" s="13">
        <f t="shared" si="54"/>
        <v>300000</v>
      </c>
      <c r="I871" s="13">
        <f t="shared" si="55"/>
        <v>-78143.559068575094</v>
      </c>
    </row>
    <row r="872" spans="1:9" x14ac:dyDescent="0.25">
      <c r="A872" s="33">
        <v>12928.678243354594</v>
      </c>
      <c r="B872">
        <f t="shared" si="52"/>
        <v>300000</v>
      </c>
      <c r="C872" s="13">
        <f t="shared" si="53"/>
        <v>405007.47703482164</v>
      </c>
      <c r="G872" s="33">
        <v>3928.6782433545945</v>
      </c>
      <c r="H872" s="13">
        <f t="shared" si="54"/>
        <v>196433.91216772972</v>
      </c>
      <c r="I872" s="13">
        <f t="shared" si="55"/>
        <v>-224992.52296517836</v>
      </c>
    </row>
    <row r="873" spans="1:9" x14ac:dyDescent="0.25">
      <c r="A873" s="33">
        <v>15754.539628284554</v>
      </c>
      <c r="B873">
        <f t="shared" si="52"/>
        <v>300000</v>
      </c>
      <c r="C873" s="13">
        <f t="shared" si="53"/>
        <v>550000</v>
      </c>
      <c r="G873" s="33">
        <v>6754.5396282845541</v>
      </c>
      <c r="H873" s="13">
        <f t="shared" si="54"/>
        <v>300000</v>
      </c>
      <c r="I873" s="13">
        <f t="shared" si="55"/>
        <v>-27182.226020081202</v>
      </c>
    </row>
    <row r="874" spans="1:9" x14ac:dyDescent="0.25">
      <c r="A874" s="33">
        <v>15421.124912259285</v>
      </c>
      <c r="B874">
        <f t="shared" si="52"/>
        <v>300000</v>
      </c>
      <c r="C874" s="13">
        <f t="shared" si="53"/>
        <v>550000</v>
      </c>
      <c r="G874" s="33">
        <v>6421.1249122592853</v>
      </c>
      <c r="H874" s="13">
        <f t="shared" si="54"/>
        <v>300000</v>
      </c>
      <c r="I874" s="13">
        <f t="shared" si="55"/>
        <v>-50521.256141850026</v>
      </c>
    </row>
    <row r="875" spans="1:9" x14ac:dyDescent="0.25">
      <c r="A875" s="33">
        <v>16264.351329081088</v>
      </c>
      <c r="B875">
        <f t="shared" si="52"/>
        <v>300000</v>
      </c>
      <c r="C875" s="13">
        <f t="shared" si="53"/>
        <v>550000</v>
      </c>
      <c r="G875" s="33">
        <v>7264.3513290810879</v>
      </c>
      <c r="H875" s="13">
        <f t="shared" si="54"/>
        <v>300000</v>
      </c>
      <c r="I875" s="13">
        <f t="shared" si="55"/>
        <v>8504.5930356761673</v>
      </c>
    </row>
    <row r="876" spans="1:9" x14ac:dyDescent="0.25">
      <c r="A876" s="33">
        <v>13881.160924100466</v>
      </c>
      <c r="B876">
        <f t="shared" si="52"/>
        <v>300000</v>
      </c>
      <c r="C876" s="13">
        <f t="shared" si="53"/>
        <v>471681.26468703267</v>
      </c>
      <c r="G876" s="33">
        <v>4881.1609241004671</v>
      </c>
      <c r="H876" s="13">
        <f t="shared" si="54"/>
        <v>244058.04620502336</v>
      </c>
      <c r="I876" s="13">
        <f t="shared" si="55"/>
        <v>-158318.73531296733</v>
      </c>
    </row>
    <row r="877" spans="1:9" x14ac:dyDescent="0.25">
      <c r="A877" s="33">
        <v>14064.729758598591</v>
      </c>
      <c r="B877">
        <f t="shared" si="52"/>
        <v>300000</v>
      </c>
      <c r="C877" s="13">
        <f t="shared" si="53"/>
        <v>484531.08310190134</v>
      </c>
      <c r="G877" s="33">
        <v>5064.7297585985898</v>
      </c>
      <c r="H877" s="13">
        <f t="shared" si="54"/>
        <v>253236.48792992948</v>
      </c>
      <c r="I877" s="13">
        <f t="shared" si="55"/>
        <v>-145468.91689809872</v>
      </c>
    </row>
    <row r="878" spans="1:9" x14ac:dyDescent="0.25">
      <c r="A878" s="33">
        <v>16489.730521561327</v>
      </c>
      <c r="B878">
        <f t="shared" si="52"/>
        <v>300000</v>
      </c>
      <c r="C878" s="13">
        <f t="shared" si="53"/>
        <v>550000</v>
      </c>
      <c r="G878" s="33">
        <v>7489.7305215613269</v>
      </c>
      <c r="H878" s="13">
        <f t="shared" si="54"/>
        <v>300000</v>
      </c>
      <c r="I878" s="13">
        <f t="shared" si="55"/>
        <v>24281.136509292875</v>
      </c>
    </row>
    <row r="879" spans="1:9" x14ac:dyDescent="0.25">
      <c r="A879" s="33">
        <v>16555.04013183996</v>
      </c>
      <c r="B879">
        <f t="shared" si="52"/>
        <v>300000</v>
      </c>
      <c r="C879" s="13">
        <f t="shared" si="53"/>
        <v>550000</v>
      </c>
      <c r="G879" s="33">
        <v>7555.0401318399608</v>
      </c>
      <c r="H879" s="13">
        <f t="shared" si="54"/>
        <v>300000</v>
      </c>
      <c r="I879" s="13">
        <f t="shared" si="55"/>
        <v>28852.80922879721</v>
      </c>
    </row>
    <row r="880" spans="1:9" x14ac:dyDescent="0.25">
      <c r="A880" s="33">
        <v>13037.629322183904</v>
      </c>
      <c r="B880">
        <f t="shared" si="52"/>
        <v>300000</v>
      </c>
      <c r="C880" s="13">
        <f t="shared" si="53"/>
        <v>412634.05255287327</v>
      </c>
      <c r="G880" s="33">
        <v>4037.6293221839046</v>
      </c>
      <c r="H880" s="13">
        <f t="shared" si="54"/>
        <v>201881.46610919523</v>
      </c>
      <c r="I880" s="13">
        <f t="shared" si="55"/>
        <v>-217365.94744712667</v>
      </c>
    </row>
    <row r="881" spans="1:9" x14ac:dyDescent="0.25">
      <c r="A881" s="33">
        <v>14957.701345866268</v>
      </c>
      <c r="B881">
        <f t="shared" si="52"/>
        <v>300000</v>
      </c>
      <c r="C881" s="13">
        <f t="shared" si="53"/>
        <v>547039.09421063878</v>
      </c>
      <c r="G881" s="33">
        <v>5957.7013458662677</v>
      </c>
      <c r="H881" s="13">
        <f t="shared" si="54"/>
        <v>297885.06729331339</v>
      </c>
      <c r="I881" s="13">
        <f t="shared" si="55"/>
        <v>-82960.905789361277</v>
      </c>
    </row>
    <row r="882" spans="1:9" x14ac:dyDescent="0.25">
      <c r="A882" s="33">
        <v>13381.572923978392</v>
      </c>
      <c r="B882">
        <f t="shared" si="52"/>
        <v>300000</v>
      </c>
      <c r="C882" s="13">
        <f t="shared" si="53"/>
        <v>436710.10467848741</v>
      </c>
      <c r="G882" s="33">
        <v>4381.5729239783923</v>
      </c>
      <c r="H882" s="13">
        <f t="shared" si="54"/>
        <v>219078.64619891963</v>
      </c>
      <c r="I882" s="13">
        <f t="shared" si="55"/>
        <v>-193289.89532151254</v>
      </c>
    </row>
    <row r="883" spans="1:9" x14ac:dyDescent="0.25">
      <c r="A883" s="33">
        <v>13193.12112796411</v>
      </c>
      <c r="B883">
        <f t="shared" si="52"/>
        <v>300000</v>
      </c>
      <c r="C883" s="13">
        <f t="shared" si="53"/>
        <v>423518.47895748774</v>
      </c>
      <c r="G883" s="33">
        <v>4193.1211279641102</v>
      </c>
      <c r="H883" s="13">
        <f t="shared" si="54"/>
        <v>209656.05639820552</v>
      </c>
      <c r="I883" s="13">
        <f t="shared" si="55"/>
        <v>-206481.52104251226</v>
      </c>
    </row>
    <row r="884" spans="1:9" x14ac:dyDescent="0.25">
      <c r="A884" s="33">
        <v>13105.838190862758</v>
      </c>
      <c r="B884">
        <f t="shared" si="52"/>
        <v>300000</v>
      </c>
      <c r="C884" s="13">
        <f t="shared" si="53"/>
        <v>417408.67336039303</v>
      </c>
      <c r="G884" s="33">
        <v>4105.838190862758</v>
      </c>
      <c r="H884" s="13">
        <f t="shared" si="54"/>
        <v>205291.90954313791</v>
      </c>
      <c r="I884" s="13">
        <f t="shared" si="55"/>
        <v>-212591.32663960697</v>
      </c>
    </row>
    <row r="885" spans="1:9" x14ac:dyDescent="0.25">
      <c r="A885" s="33">
        <v>14034.058656575213</v>
      </c>
      <c r="B885">
        <f t="shared" si="52"/>
        <v>300000</v>
      </c>
      <c r="C885" s="13">
        <f t="shared" si="53"/>
        <v>482384.10596026492</v>
      </c>
      <c r="G885" s="33">
        <v>5034.0586565752128</v>
      </c>
      <c r="H885" s="13">
        <f t="shared" si="54"/>
        <v>251702.93282876065</v>
      </c>
      <c r="I885" s="13">
        <f t="shared" si="55"/>
        <v>-147615.89403973508</v>
      </c>
    </row>
    <row r="886" spans="1:9" x14ac:dyDescent="0.25">
      <c r="A886" s="33">
        <v>15624.835963011566</v>
      </c>
      <c r="B886">
        <f t="shared" si="52"/>
        <v>300000</v>
      </c>
      <c r="C886" s="13">
        <f t="shared" si="53"/>
        <v>550000</v>
      </c>
      <c r="G886" s="33">
        <v>6624.8359630115665</v>
      </c>
      <c r="H886" s="13">
        <f t="shared" si="54"/>
        <v>300000</v>
      </c>
      <c r="I886" s="13">
        <f t="shared" si="55"/>
        <v>-36261.48258919036</v>
      </c>
    </row>
    <row r="887" spans="1:9" x14ac:dyDescent="0.25">
      <c r="A887" s="33">
        <v>16102.603228858303</v>
      </c>
      <c r="B887">
        <f t="shared" si="52"/>
        <v>300000</v>
      </c>
      <c r="C887" s="13">
        <f t="shared" si="53"/>
        <v>550000</v>
      </c>
      <c r="G887" s="33">
        <v>7102.6032288583028</v>
      </c>
      <c r="H887" s="13">
        <f t="shared" si="54"/>
        <v>300000</v>
      </c>
      <c r="I887" s="13">
        <f t="shared" si="55"/>
        <v>-2817.7739799187984</v>
      </c>
    </row>
    <row r="888" spans="1:9" x14ac:dyDescent="0.25">
      <c r="A888" s="33">
        <v>16289.834284493547</v>
      </c>
      <c r="B888">
        <f t="shared" si="52"/>
        <v>300000</v>
      </c>
      <c r="C888" s="13">
        <f t="shared" si="53"/>
        <v>550000</v>
      </c>
      <c r="G888" s="33">
        <v>7289.834284493546</v>
      </c>
      <c r="H888" s="13">
        <f t="shared" si="54"/>
        <v>300000</v>
      </c>
      <c r="I888" s="13">
        <f t="shared" si="55"/>
        <v>10288.399914548208</v>
      </c>
    </row>
    <row r="889" spans="1:9" x14ac:dyDescent="0.25">
      <c r="A889" s="33">
        <v>16255.806146427809</v>
      </c>
      <c r="B889">
        <f t="shared" si="52"/>
        <v>300000</v>
      </c>
      <c r="C889" s="13">
        <f t="shared" si="53"/>
        <v>550000</v>
      </c>
      <c r="G889" s="33">
        <v>7255.8061464278089</v>
      </c>
      <c r="H889" s="13">
        <f t="shared" si="54"/>
        <v>300000</v>
      </c>
      <c r="I889" s="13">
        <f t="shared" si="55"/>
        <v>7906.4302499465994</v>
      </c>
    </row>
    <row r="890" spans="1:9" x14ac:dyDescent="0.25">
      <c r="A890" s="33">
        <v>16109.77507858516</v>
      </c>
      <c r="B890">
        <f t="shared" si="52"/>
        <v>300000</v>
      </c>
      <c r="C890" s="13">
        <f t="shared" si="53"/>
        <v>550000</v>
      </c>
      <c r="G890" s="33">
        <v>7109.7750785851613</v>
      </c>
      <c r="H890" s="13">
        <f t="shared" si="54"/>
        <v>300000</v>
      </c>
      <c r="I890" s="13">
        <f t="shared" si="55"/>
        <v>-2315.7444990387303</v>
      </c>
    </row>
    <row r="891" spans="1:9" x14ac:dyDescent="0.25">
      <c r="A891" s="33">
        <v>15785.210730307932</v>
      </c>
      <c r="B891">
        <f t="shared" si="52"/>
        <v>300000</v>
      </c>
      <c r="C891" s="13">
        <f t="shared" si="53"/>
        <v>550000</v>
      </c>
      <c r="G891" s="33">
        <v>6785.210730307932</v>
      </c>
      <c r="H891" s="13">
        <f t="shared" si="54"/>
        <v>300000</v>
      </c>
      <c r="I891" s="13">
        <f t="shared" si="55"/>
        <v>-25035.248878444778</v>
      </c>
    </row>
    <row r="892" spans="1:9" x14ac:dyDescent="0.25">
      <c r="A892" s="33">
        <v>16065.981017487105</v>
      </c>
      <c r="B892">
        <f t="shared" si="52"/>
        <v>300000</v>
      </c>
      <c r="C892" s="13">
        <f t="shared" si="53"/>
        <v>550000</v>
      </c>
      <c r="G892" s="33">
        <v>7065.9810174871054</v>
      </c>
      <c r="H892" s="13">
        <f t="shared" si="54"/>
        <v>300000</v>
      </c>
      <c r="I892" s="13">
        <f t="shared" si="55"/>
        <v>-5381.328775902628</v>
      </c>
    </row>
    <row r="893" spans="1:9" x14ac:dyDescent="0.25">
      <c r="A893" s="33">
        <v>13744.438001647999</v>
      </c>
      <c r="B893">
        <f t="shared" si="52"/>
        <v>300000</v>
      </c>
      <c r="C893" s="13">
        <f t="shared" si="53"/>
        <v>462110.66011535993</v>
      </c>
      <c r="G893" s="33">
        <v>4744.438001648</v>
      </c>
      <c r="H893" s="13">
        <f t="shared" si="54"/>
        <v>237221.90008240001</v>
      </c>
      <c r="I893" s="13">
        <f t="shared" si="55"/>
        <v>-167889.33988464001</v>
      </c>
    </row>
    <row r="894" spans="1:9" x14ac:dyDescent="0.25">
      <c r="A894" s="33">
        <v>13317.636646626179</v>
      </c>
      <c r="B894">
        <f t="shared" si="52"/>
        <v>300000</v>
      </c>
      <c r="C894" s="13">
        <f t="shared" si="53"/>
        <v>432234.56526383257</v>
      </c>
      <c r="G894" s="33">
        <v>4317.6366466261788</v>
      </c>
      <c r="H894" s="13">
        <f t="shared" si="54"/>
        <v>215881.83233130895</v>
      </c>
      <c r="I894" s="13">
        <f t="shared" si="55"/>
        <v>-197765.43473616749</v>
      </c>
    </row>
    <row r="895" spans="1:9" x14ac:dyDescent="0.25">
      <c r="A895" s="33">
        <v>14758.110293893245</v>
      </c>
      <c r="B895">
        <f t="shared" si="52"/>
        <v>300000</v>
      </c>
      <c r="C895" s="13">
        <f t="shared" si="53"/>
        <v>533067.72057252715</v>
      </c>
      <c r="G895" s="33">
        <v>5758.1102938932463</v>
      </c>
      <c r="H895" s="13">
        <f t="shared" si="54"/>
        <v>287905.5146946623</v>
      </c>
      <c r="I895" s="13">
        <f t="shared" si="55"/>
        <v>-96932.279427472735</v>
      </c>
    </row>
    <row r="896" spans="1:9" x14ac:dyDescent="0.25">
      <c r="A896" s="33">
        <v>13499.984740745262</v>
      </c>
      <c r="B896">
        <f t="shared" si="52"/>
        <v>300000</v>
      </c>
      <c r="C896" s="13">
        <f t="shared" si="53"/>
        <v>444998.93185216829</v>
      </c>
      <c r="G896" s="33">
        <v>4499.9847407452617</v>
      </c>
      <c r="H896" s="13">
        <f t="shared" si="54"/>
        <v>224999.23703726308</v>
      </c>
      <c r="I896" s="13">
        <f t="shared" si="55"/>
        <v>-185001.06814783171</v>
      </c>
    </row>
    <row r="897" spans="1:9" x14ac:dyDescent="0.25">
      <c r="A897" s="33">
        <v>14956.785790581987</v>
      </c>
      <c r="B897">
        <f t="shared" si="52"/>
        <v>300000</v>
      </c>
      <c r="C897" s="13">
        <f t="shared" si="53"/>
        <v>546975.00534073915</v>
      </c>
      <c r="G897" s="33">
        <v>5956.7857905819874</v>
      </c>
      <c r="H897" s="13">
        <f t="shared" si="54"/>
        <v>297839.28952909936</v>
      </c>
      <c r="I897" s="13">
        <f t="shared" si="55"/>
        <v>-83024.994659260905</v>
      </c>
    </row>
    <row r="898" spans="1:9" x14ac:dyDescent="0.25">
      <c r="A898" s="33">
        <v>14420.422986541336</v>
      </c>
      <c r="B898">
        <f t="shared" si="52"/>
        <v>300000</v>
      </c>
      <c r="C898" s="13">
        <f t="shared" si="53"/>
        <v>509429.60905789351</v>
      </c>
      <c r="G898" s="33">
        <v>5420.4229865413372</v>
      </c>
      <c r="H898" s="13">
        <f t="shared" si="54"/>
        <v>271021.14932706684</v>
      </c>
      <c r="I898" s="13">
        <f t="shared" si="55"/>
        <v>-120570.39094210637</v>
      </c>
    </row>
    <row r="899" spans="1:9" x14ac:dyDescent="0.25">
      <c r="A899" s="33">
        <v>16381.237220374158</v>
      </c>
      <c r="B899">
        <f t="shared" si="52"/>
        <v>300000</v>
      </c>
      <c r="C899" s="13">
        <f t="shared" si="53"/>
        <v>550000</v>
      </c>
      <c r="G899" s="33">
        <v>7381.237220374157</v>
      </c>
      <c r="H899" s="13">
        <f t="shared" si="54"/>
        <v>300000</v>
      </c>
      <c r="I899" s="13">
        <f t="shared" si="55"/>
        <v>16686.605426191003</v>
      </c>
    </row>
    <row r="900" spans="1:9" x14ac:dyDescent="0.25">
      <c r="A900" s="33">
        <v>16385.052034058659</v>
      </c>
      <c r="B900">
        <f t="shared" si="52"/>
        <v>300000</v>
      </c>
      <c r="C900" s="13">
        <f t="shared" si="53"/>
        <v>550000</v>
      </c>
      <c r="G900" s="33">
        <v>7385.0520340586572</v>
      </c>
      <c r="H900" s="13">
        <f t="shared" si="54"/>
        <v>300000</v>
      </c>
      <c r="I900" s="13">
        <f t="shared" si="55"/>
        <v>16953.642384106002</v>
      </c>
    </row>
    <row r="901" spans="1:9" x14ac:dyDescent="0.25">
      <c r="A901" s="33">
        <v>15392.895290993987</v>
      </c>
      <c r="B901">
        <f t="shared" si="52"/>
        <v>300000</v>
      </c>
      <c r="C901" s="13">
        <f t="shared" si="53"/>
        <v>550000</v>
      </c>
      <c r="G901" s="33">
        <v>6392.8952909939881</v>
      </c>
      <c r="H901" s="13">
        <f t="shared" si="54"/>
        <v>300000</v>
      </c>
      <c r="I901" s="13">
        <f t="shared" si="55"/>
        <v>-52497.329630420834</v>
      </c>
    </row>
    <row r="902" spans="1:9" x14ac:dyDescent="0.25">
      <c r="A902" s="33">
        <v>13779.229102450636</v>
      </c>
      <c r="B902">
        <f t="shared" si="52"/>
        <v>300000</v>
      </c>
      <c r="C902" s="13">
        <f t="shared" si="53"/>
        <v>464546.03717154451</v>
      </c>
      <c r="G902" s="33">
        <v>4779.2291024506358</v>
      </c>
      <c r="H902" s="13">
        <f t="shared" si="54"/>
        <v>238961.4551225318</v>
      </c>
      <c r="I902" s="13">
        <f t="shared" si="55"/>
        <v>-165453.96282845549</v>
      </c>
    </row>
    <row r="903" spans="1:9" x14ac:dyDescent="0.25">
      <c r="A903" s="33">
        <v>12485.549485763115</v>
      </c>
      <c r="B903">
        <f t="shared" si="52"/>
        <v>300000</v>
      </c>
      <c r="C903" s="13">
        <f t="shared" si="53"/>
        <v>373988.46400341799</v>
      </c>
      <c r="G903" s="33">
        <v>3485.5494857631152</v>
      </c>
      <c r="H903" s="13">
        <f t="shared" si="54"/>
        <v>174277.47428815576</v>
      </c>
      <c r="I903" s="13">
        <f t="shared" si="55"/>
        <v>-256011.53599658195</v>
      </c>
    </row>
    <row r="904" spans="1:9" x14ac:dyDescent="0.25">
      <c r="A904" s="33">
        <v>16983.9777825251</v>
      </c>
      <c r="B904">
        <f t="shared" si="52"/>
        <v>300000</v>
      </c>
      <c r="C904" s="13">
        <f t="shared" si="53"/>
        <v>550000</v>
      </c>
      <c r="G904" s="33">
        <v>7983.9777825251012</v>
      </c>
      <c r="H904" s="13">
        <f t="shared" si="54"/>
        <v>300000</v>
      </c>
      <c r="I904" s="13">
        <f t="shared" si="55"/>
        <v>58878.444776757038</v>
      </c>
    </row>
    <row r="905" spans="1:9" x14ac:dyDescent="0.25">
      <c r="A905" s="33">
        <v>12494.399853511155</v>
      </c>
      <c r="B905">
        <f t="shared" si="52"/>
        <v>300000</v>
      </c>
      <c r="C905" s="13">
        <f t="shared" si="53"/>
        <v>374607.98974578083</v>
      </c>
      <c r="G905" s="33">
        <v>3494.3998535111546</v>
      </c>
      <c r="H905" s="13">
        <f t="shared" si="54"/>
        <v>174719.99267555773</v>
      </c>
      <c r="I905" s="13">
        <f t="shared" si="55"/>
        <v>-255392.01025421917</v>
      </c>
    </row>
    <row r="906" spans="1:9" x14ac:dyDescent="0.25">
      <c r="A906" s="33">
        <v>13875.362407300028</v>
      </c>
      <c r="B906">
        <f t="shared" si="52"/>
        <v>300000</v>
      </c>
      <c r="C906" s="13">
        <f t="shared" si="53"/>
        <v>471275.36851100193</v>
      </c>
      <c r="G906" s="33">
        <v>4875.3624073000274</v>
      </c>
      <c r="H906" s="13">
        <f t="shared" si="54"/>
        <v>243768.12036500138</v>
      </c>
      <c r="I906" s="13">
        <f t="shared" si="55"/>
        <v>-158724.63148899807</v>
      </c>
    </row>
    <row r="907" spans="1:9" x14ac:dyDescent="0.25">
      <c r="A907" s="33">
        <v>13706.137272255623</v>
      </c>
      <c r="B907">
        <f t="shared" ref="B907:B970" si="56">MIN(A907,6000)*50</f>
        <v>300000</v>
      </c>
      <c r="C907" s="13">
        <f t="shared" ref="C907:C970" si="57">MIN(A907,$C$3)*$C$6-500000</f>
        <v>459429.60905789363</v>
      </c>
      <c r="G907" s="33">
        <v>4706.1372722556234</v>
      </c>
      <c r="H907" s="13">
        <f t="shared" ref="H907:H970" si="58">MIN(G907,6000)*50</f>
        <v>235306.86361278116</v>
      </c>
      <c r="I907" s="13">
        <f t="shared" ref="I907:I970" si="59">MIN(G907,15000)*70-500000</f>
        <v>-170570.39094210637</v>
      </c>
    </row>
    <row r="908" spans="1:9" x14ac:dyDescent="0.25">
      <c r="A908" s="33">
        <v>16656.666768395033</v>
      </c>
      <c r="B908">
        <f t="shared" si="56"/>
        <v>300000</v>
      </c>
      <c r="C908" s="13">
        <f t="shared" si="57"/>
        <v>550000</v>
      </c>
      <c r="G908" s="33">
        <v>7656.6667683950318</v>
      </c>
      <c r="H908" s="13">
        <f t="shared" si="58"/>
        <v>300000</v>
      </c>
      <c r="I908" s="13">
        <f t="shared" si="59"/>
        <v>35966.673787652282</v>
      </c>
    </row>
    <row r="909" spans="1:9" x14ac:dyDescent="0.25">
      <c r="A909" s="33">
        <v>14889.339884640034</v>
      </c>
      <c r="B909">
        <f t="shared" si="56"/>
        <v>300000</v>
      </c>
      <c r="C909" s="13">
        <f t="shared" si="57"/>
        <v>542253.79192480235</v>
      </c>
      <c r="G909" s="33">
        <v>5889.3398846400341</v>
      </c>
      <c r="H909" s="13">
        <f t="shared" si="58"/>
        <v>294466.99423200171</v>
      </c>
      <c r="I909" s="13">
        <f t="shared" si="59"/>
        <v>-87746.208075197588</v>
      </c>
    </row>
    <row r="910" spans="1:9" x14ac:dyDescent="0.25">
      <c r="A910" s="33">
        <v>13203.955198828089</v>
      </c>
      <c r="B910">
        <f t="shared" si="56"/>
        <v>300000</v>
      </c>
      <c r="C910" s="13">
        <f t="shared" si="57"/>
        <v>424276.86391796626</v>
      </c>
      <c r="G910" s="33">
        <v>4203.9551988280891</v>
      </c>
      <c r="H910" s="13">
        <f t="shared" si="58"/>
        <v>210197.75994140445</v>
      </c>
      <c r="I910" s="13">
        <f t="shared" si="59"/>
        <v>-205723.13608203374</v>
      </c>
    </row>
    <row r="911" spans="1:9" x14ac:dyDescent="0.25">
      <c r="A911" s="33">
        <v>13925.107577745903</v>
      </c>
      <c r="B911">
        <f t="shared" si="56"/>
        <v>300000</v>
      </c>
      <c r="C911" s="13">
        <f t="shared" si="57"/>
        <v>474757.53044221317</v>
      </c>
      <c r="G911" s="33">
        <v>4925.1075777459027</v>
      </c>
      <c r="H911" s="13">
        <f t="shared" si="58"/>
        <v>246255.37888729514</v>
      </c>
      <c r="I911" s="13">
        <f t="shared" si="59"/>
        <v>-155242.46955778683</v>
      </c>
    </row>
    <row r="912" spans="1:9" x14ac:dyDescent="0.25">
      <c r="A912" s="33">
        <v>13153.141880550555</v>
      </c>
      <c r="B912">
        <f t="shared" si="56"/>
        <v>300000</v>
      </c>
      <c r="C912" s="13">
        <f t="shared" si="57"/>
        <v>420719.93163853884</v>
      </c>
      <c r="G912" s="33">
        <v>4153.1418805505537</v>
      </c>
      <c r="H912" s="13">
        <f t="shared" si="58"/>
        <v>207657.0940275277</v>
      </c>
      <c r="I912" s="13">
        <f t="shared" si="59"/>
        <v>-209280.06836146122</v>
      </c>
    </row>
    <row r="913" spans="1:9" x14ac:dyDescent="0.25">
      <c r="A913" s="33">
        <v>13635.94470046083</v>
      </c>
      <c r="B913">
        <f t="shared" si="56"/>
        <v>300000</v>
      </c>
      <c r="C913" s="13">
        <f t="shared" si="57"/>
        <v>454516.12903225806</v>
      </c>
      <c r="G913" s="33">
        <v>4635.9447004608301</v>
      </c>
      <c r="H913" s="13">
        <f t="shared" si="58"/>
        <v>231797.23502304149</v>
      </c>
      <c r="I913" s="13">
        <f t="shared" si="59"/>
        <v>-175483.87096774188</v>
      </c>
    </row>
    <row r="914" spans="1:9" x14ac:dyDescent="0.25">
      <c r="A914" s="33">
        <v>13161.839655751213</v>
      </c>
      <c r="B914">
        <f t="shared" si="56"/>
        <v>300000</v>
      </c>
      <c r="C914" s="13">
        <f t="shared" si="57"/>
        <v>421328.77590258489</v>
      </c>
      <c r="G914" s="33">
        <v>4161.8396557512133</v>
      </c>
      <c r="H914" s="13">
        <f t="shared" si="58"/>
        <v>208091.98278756067</v>
      </c>
      <c r="I914" s="13">
        <f t="shared" si="59"/>
        <v>-208671.22409741505</v>
      </c>
    </row>
    <row r="915" spans="1:9" x14ac:dyDescent="0.25">
      <c r="A915" s="33">
        <v>12733.664967802972</v>
      </c>
      <c r="B915">
        <f t="shared" si="56"/>
        <v>300000</v>
      </c>
      <c r="C915" s="13">
        <f t="shared" si="57"/>
        <v>391356.54774620803</v>
      </c>
      <c r="G915" s="33">
        <v>3733.6649678029726</v>
      </c>
      <c r="H915" s="13">
        <f t="shared" si="58"/>
        <v>186683.24839014863</v>
      </c>
      <c r="I915" s="13">
        <f t="shared" si="59"/>
        <v>-238643.45225379191</v>
      </c>
    </row>
    <row r="916" spans="1:9" x14ac:dyDescent="0.25">
      <c r="A916" s="33">
        <v>13854.609820856349</v>
      </c>
      <c r="B916">
        <f t="shared" si="56"/>
        <v>300000</v>
      </c>
      <c r="C916" s="13">
        <f t="shared" si="57"/>
        <v>469822.6874599444</v>
      </c>
      <c r="G916" s="33">
        <v>4854.609820856349</v>
      </c>
      <c r="H916" s="13">
        <f t="shared" si="58"/>
        <v>242730.49104281745</v>
      </c>
      <c r="I916" s="13">
        <f t="shared" si="59"/>
        <v>-160177.3125400556</v>
      </c>
    </row>
    <row r="917" spans="1:9" x14ac:dyDescent="0.25">
      <c r="A917" s="33">
        <v>15628.345591601306</v>
      </c>
      <c r="B917">
        <f t="shared" si="56"/>
        <v>300000</v>
      </c>
      <c r="C917" s="13">
        <f t="shared" si="57"/>
        <v>550000</v>
      </c>
      <c r="G917" s="33">
        <v>6628.3455916013063</v>
      </c>
      <c r="H917" s="13">
        <f t="shared" si="58"/>
        <v>300000</v>
      </c>
      <c r="I917" s="13">
        <f t="shared" si="59"/>
        <v>-36015.80858790857</v>
      </c>
    </row>
    <row r="918" spans="1:9" x14ac:dyDescent="0.25">
      <c r="A918" s="33">
        <v>13460.463270973845</v>
      </c>
      <c r="B918">
        <f t="shared" si="56"/>
        <v>300000</v>
      </c>
      <c r="C918" s="13">
        <f t="shared" si="57"/>
        <v>442232.42896816914</v>
      </c>
      <c r="G918" s="33">
        <v>4460.4632709738453</v>
      </c>
      <c r="H918" s="13">
        <f t="shared" si="58"/>
        <v>223023.16354869228</v>
      </c>
      <c r="I918" s="13">
        <f t="shared" si="59"/>
        <v>-187767.57103183086</v>
      </c>
    </row>
    <row r="919" spans="1:9" x14ac:dyDescent="0.25">
      <c r="A919" s="33">
        <v>12318.00286873989</v>
      </c>
      <c r="B919">
        <f t="shared" si="56"/>
        <v>300000</v>
      </c>
      <c r="C919" s="13">
        <f t="shared" si="57"/>
        <v>362260.20081179228</v>
      </c>
      <c r="G919" s="33">
        <v>3318.0028687398908</v>
      </c>
      <c r="H919" s="13">
        <f t="shared" si="58"/>
        <v>165900.14343699455</v>
      </c>
      <c r="I919" s="13">
        <f t="shared" si="59"/>
        <v>-267739.7991882076</v>
      </c>
    </row>
    <row r="920" spans="1:9" x14ac:dyDescent="0.25">
      <c r="A920" s="33">
        <v>15740.653706472976</v>
      </c>
      <c r="B920">
        <f t="shared" si="56"/>
        <v>300000</v>
      </c>
      <c r="C920" s="13">
        <f t="shared" si="57"/>
        <v>550000</v>
      </c>
      <c r="G920" s="33">
        <v>6740.6537064729764</v>
      </c>
      <c r="H920" s="13">
        <f t="shared" si="58"/>
        <v>300000</v>
      </c>
      <c r="I920" s="13">
        <f t="shared" si="59"/>
        <v>-28154.24054689164</v>
      </c>
    </row>
    <row r="921" spans="1:9" x14ac:dyDescent="0.25">
      <c r="A921" s="33">
        <v>16813.531907101657</v>
      </c>
      <c r="B921">
        <f t="shared" si="56"/>
        <v>300000</v>
      </c>
      <c r="C921" s="13">
        <f t="shared" si="57"/>
        <v>550000</v>
      </c>
      <c r="G921" s="33">
        <v>7813.5319071016565</v>
      </c>
      <c r="H921" s="13">
        <f t="shared" si="58"/>
        <v>300000</v>
      </c>
      <c r="I921" s="13">
        <f t="shared" si="59"/>
        <v>46947.233497116016</v>
      </c>
    </row>
    <row r="922" spans="1:9" x14ac:dyDescent="0.25">
      <c r="A922" s="33">
        <v>13096.377452925199</v>
      </c>
      <c r="B922">
        <f t="shared" si="56"/>
        <v>300000</v>
      </c>
      <c r="C922" s="13">
        <f t="shared" si="57"/>
        <v>416746.4217047639</v>
      </c>
      <c r="G922" s="33">
        <v>4096.3774529251987</v>
      </c>
      <c r="H922" s="13">
        <f t="shared" si="58"/>
        <v>204818.87264625993</v>
      </c>
      <c r="I922" s="13">
        <f t="shared" si="59"/>
        <v>-213253.5782952361</v>
      </c>
    </row>
    <row r="923" spans="1:9" x14ac:dyDescent="0.25">
      <c r="A923" s="33">
        <v>12673.848689230017</v>
      </c>
      <c r="B923">
        <f t="shared" si="56"/>
        <v>300000</v>
      </c>
      <c r="C923" s="13">
        <f t="shared" si="57"/>
        <v>387169.40824610123</v>
      </c>
      <c r="G923" s="33">
        <v>3673.848689230018</v>
      </c>
      <c r="H923" s="13">
        <f t="shared" si="58"/>
        <v>183692.4344615009</v>
      </c>
      <c r="I923" s="13">
        <f t="shared" si="59"/>
        <v>-242830.59175389874</v>
      </c>
    </row>
    <row r="924" spans="1:9" x14ac:dyDescent="0.25">
      <c r="A924" s="33">
        <v>15369.090853602709</v>
      </c>
      <c r="B924">
        <f t="shared" si="56"/>
        <v>300000</v>
      </c>
      <c r="C924" s="13">
        <f t="shared" si="57"/>
        <v>550000</v>
      </c>
      <c r="G924" s="33">
        <v>6369.0908536027091</v>
      </c>
      <c r="H924" s="13">
        <f t="shared" si="58"/>
        <v>300000</v>
      </c>
      <c r="I924" s="13">
        <f t="shared" si="59"/>
        <v>-54163.640247810341</v>
      </c>
    </row>
    <row r="925" spans="1:9" x14ac:dyDescent="0.25">
      <c r="A925" s="33">
        <v>15381.603442487869</v>
      </c>
      <c r="B925">
        <f t="shared" si="56"/>
        <v>300000</v>
      </c>
      <c r="C925" s="13">
        <f t="shared" si="57"/>
        <v>550000</v>
      </c>
      <c r="G925" s="33">
        <v>6381.603442487869</v>
      </c>
      <c r="H925" s="13">
        <f t="shared" si="58"/>
        <v>300000</v>
      </c>
      <c r="I925" s="13">
        <f t="shared" si="59"/>
        <v>-53287.759025849169</v>
      </c>
    </row>
    <row r="926" spans="1:9" x14ac:dyDescent="0.25">
      <c r="A926" s="33">
        <v>16408.398693807794</v>
      </c>
      <c r="B926">
        <f t="shared" si="56"/>
        <v>300000</v>
      </c>
      <c r="C926" s="13">
        <f t="shared" si="57"/>
        <v>550000</v>
      </c>
      <c r="G926" s="33">
        <v>7408.3986938077942</v>
      </c>
      <c r="H926" s="13">
        <f t="shared" si="58"/>
        <v>300000</v>
      </c>
      <c r="I926" s="13">
        <f t="shared" si="59"/>
        <v>18587.908566545579</v>
      </c>
    </row>
    <row r="927" spans="1:9" x14ac:dyDescent="0.25">
      <c r="A927" s="33">
        <v>16558.702352977081</v>
      </c>
      <c r="B927">
        <f t="shared" si="56"/>
        <v>300000</v>
      </c>
      <c r="C927" s="13">
        <f t="shared" si="57"/>
        <v>550000</v>
      </c>
      <c r="G927" s="33">
        <v>7558.7023529770804</v>
      </c>
      <c r="H927" s="13">
        <f t="shared" si="58"/>
        <v>300000</v>
      </c>
      <c r="I927" s="13">
        <f t="shared" si="59"/>
        <v>29109.164708395605</v>
      </c>
    </row>
    <row r="928" spans="1:9" x14ac:dyDescent="0.25">
      <c r="A928" s="33">
        <v>14645.649586474196</v>
      </c>
      <c r="B928">
        <f t="shared" si="56"/>
        <v>300000</v>
      </c>
      <c r="C928" s="13">
        <f t="shared" si="57"/>
        <v>525195.47105319367</v>
      </c>
      <c r="G928" s="33">
        <v>5645.6495864741964</v>
      </c>
      <c r="H928" s="13">
        <f t="shared" si="58"/>
        <v>282282.47932370985</v>
      </c>
      <c r="I928" s="13">
        <f t="shared" si="59"/>
        <v>-104804.52894680627</v>
      </c>
    </row>
    <row r="929" spans="1:9" x14ac:dyDescent="0.25">
      <c r="A929" s="33">
        <v>12581.072420422986</v>
      </c>
      <c r="B929">
        <f t="shared" si="56"/>
        <v>300000</v>
      </c>
      <c r="C929" s="13">
        <f t="shared" si="57"/>
        <v>380675.06942960899</v>
      </c>
      <c r="G929" s="33">
        <v>3581.0724204229864</v>
      </c>
      <c r="H929" s="13">
        <f t="shared" si="58"/>
        <v>179053.62102114933</v>
      </c>
      <c r="I929" s="13">
        <f t="shared" si="59"/>
        <v>-249324.93057039095</v>
      </c>
    </row>
    <row r="930" spans="1:9" x14ac:dyDescent="0.25">
      <c r="A930" s="33">
        <v>16254.432813501389</v>
      </c>
      <c r="B930">
        <f t="shared" si="56"/>
        <v>300000</v>
      </c>
      <c r="C930" s="13">
        <f t="shared" si="57"/>
        <v>550000</v>
      </c>
      <c r="G930" s="33">
        <v>7254.4328135013884</v>
      </c>
      <c r="H930" s="13">
        <f t="shared" si="58"/>
        <v>300000</v>
      </c>
      <c r="I930" s="13">
        <f t="shared" si="59"/>
        <v>7810.2969450972159</v>
      </c>
    </row>
    <row r="931" spans="1:9" x14ac:dyDescent="0.25">
      <c r="A931" s="33">
        <v>13086.001159703359</v>
      </c>
      <c r="B931">
        <f t="shared" si="56"/>
        <v>300000</v>
      </c>
      <c r="C931" s="13">
        <f t="shared" si="57"/>
        <v>416020.08117923513</v>
      </c>
      <c r="G931" s="33">
        <v>4086.0011597033599</v>
      </c>
      <c r="H931" s="13">
        <f t="shared" si="58"/>
        <v>204300.05798516801</v>
      </c>
      <c r="I931" s="13">
        <f t="shared" si="59"/>
        <v>-213979.91882076481</v>
      </c>
    </row>
    <row r="932" spans="1:9" x14ac:dyDescent="0.25">
      <c r="A932" s="33">
        <v>15665.578173162023</v>
      </c>
      <c r="B932">
        <f t="shared" si="56"/>
        <v>300000</v>
      </c>
      <c r="C932" s="13">
        <f t="shared" si="57"/>
        <v>550000</v>
      </c>
      <c r="G932" s="33">
        <v>6665.5781731620227</v>
      </c>
      <c r="H932" s="13">
        <f t="shared" si="58"/>
        <v>300000</v>
      </c>
      <c r="I932" s="13">
        <f t="shared" si="59"/>
        <v>-33409.52787865838</v>
      </c>
    </row>
    <row r="933" spans="1:9" x14ac:dyDescent="0.25">
      <c r="A933" s="33">
        <v>16318.979461043124</v>
      </c>
      <c r="B933">
        <f t="shared" si="56"/>
        <v>300000</v>
      </c>
      <c r="C933" s="13">
        <f t="shared" si="57"/>
        <v>550000</v>
      </c>
      <c r="G933" s="33">
        <v>7318.9794610431227</v>
      </c>
      <c r="H933" s="13">
        <f t="shared" si="58"/>
        <v>300000</v>
      </c>
      <c r="I933" s="13">
        <f t="shared" si="59"/>
        <v>12328.562273018586</v>
      </c>
    </row>
    <row r="934" spans="1:9" x14ac:dyDescent="0.25">
      <c r="A934" s="33">
        <v>13839.35056611835</v>
      </c>
      <c r="B934">
        <f t="shared" si="56"/>
        <v>300000</v>
      </c>
      <c r="C934" s="13">
        <f t="shared" si="57"/>
        <v>468754.53962828452</v>
      </c>
      <c r="G934" s="33">
        <v>4839.3505661183508</v>
      </c>
      <c r="H934" s="13">
        <f t="shared" si="58"/>
        <v>241967.52830591754</v>
      </c>
      <c r="I934" s="13">
        <f t="shared" si="59"/>
        <v>-161245.46037171542</v>
      </c>
    </row>
    <row r="935" spans="1:9" x14ac:dyDescent="0.25">
      <c r="A935" s="33">
        <v>16369.182409131139</v>
      </c>
      <c r="B935">
        <f t="shared" si="56"/>
        <v>300000</v>
      </c>
      <c r="C935" s="13">
        <f t="shared" si="57"/>
        <v>550000</v>
      </c>
      <c r="G935" s="33">
        <v>7369.1824091311382</v>
      </c>
      <c r="H935" s="13">
        <f t="shared" si="58"/>
        <v>300000</v>
      </c>
      <c r="I935" s="13">
        <f t="shared" si="59"/>
        <v>15842.768639179703</v>
      </c>
    </row>
    <row r="936" spans="1:9" x14ac:dyDescent="0.25">
      <c r="A936" s="33">
        <v>15408.612323374127</v>
      </c>
      <c r="B936">
        <f t="shared" si="56"/>
        <v>300000</v>
      </c>
      <c r="C936" s="13">
        <f t="shared" si="57"/>
        <v>550000</v>
      </c>
      <c r="G936" s="33">
        <v>6408.6123233741273</v>
      </c>
      <c r="H936" s="13">
        <f t="shared" si="58"/>
        <v>300000</v>
      </c>
      <c r="I936" s="13">
        <f t="shared" si="59"/>
        <v>-51397.137363811082</v>
      </c>
    </row>
    <row r="937" spans="1:9" x14ac:dyDescent="0.25">
      <c r="A937" s="33">
        <v>15197.882015442367</v>
      </c>
      <c r="B937">
        <f t="shared" si="56"/>
        <v>300000</v>
      </c>
      <c r="C937" s="13">
        <f t="shared" si="57"/>
        <v>550000</v>
      </c>
      <c r="G937" s="33">
        <v>6197.8820154423665</v>
      </c>
      <c r="H937" s="13">
        <f t="shared" si="58"/>
        <v>300000</v>
      </c>
      <c r="I937" s="13">
        <f t="shared" si="59"/>
        <v>-66148.258919034328</v>
      </c>
    </row>
    <row r="938" spans="1:9" x14ac:dyDescent="0.25">
      <c r="A938" s="33">
        <v>12223.242896816919</v>
      </c>
      <c r="B938">
        <f t="shared" si="56"/>
        <v>300000</v>
      </c>
      <c r="C938" s="13">
        <f t="shared" si="57"/>
        <v>355627.00277718436</v>
      </c>
      <c r="G938" s="33">
        <v>3223.2428968169193</v>
      </c>
      <c r="H938" s="13">
        <f t="shared" si="58"/>
        <v>161162.14484084595</v>
      </c>
      <c r="I938" s="13">
        <f t="shared" si="59"/>
        <v>-274372.99722281564</v>
      </c>
    </row>
    <row r="939" spans="1:9" x14ac:dyDescent="0.25">
      <c r="A939" s="33">
        <v>13118.045594653157</v>
      </c>
      <c r="B939">
        <f t="shared" si="56"/>
        <v>300000</v>
      </c>
      <c r="C939" s="13">
        <f t="shared" si="57"/>
        <v>418263.19162572094</v>
      </c>
      <c r="G939" s="33">
        <v>4118.0455946531574</v>
      </c>
      <c r="H939" s="13">
        <f t="shared" si="58"/>
        <v>205902.27973265786</v>
      </c>
      <c r="I939" s="13">
        <f t="shared" si="59"/>
        <v>-211736.808374279</v>
      </c>
    </row>
    <row r="940" spans="1:9" x14ac:dyDescent="0.25">
      <c r="A940" s="33">
        <v>13570.329905087436</v>
      </c>
      <c r="B940">
        <f t="shared" si="56"/>
        <v>300000</v>
      </c>
      <c r="C940" s="13">
        <f t="shared" si="57"/>
        <v>449923.09335612052</v>
      </c>
      <c r="G940" s="33">
        <v>4570.3299050874357</v>
      </c>
      <c r="H940" s="13">
        <f t="shared" si="58"/>
        <v>228516.49525437178</v>
      </c>
      <c r="I940" s="13">
        <f t="shared" si="59"/>
        <v>-180076.90664387948</v>
      </c>
    </row>
    <row r="941" spans="1:9" x14ac:dyDescent="0.25">
      <c r="A941" s="33">
        <v>13152.073732718894</v>
      </c>
      <c r="B941">
        <f t="shared" si="56"/>
        <v>300000</v>
      </c>
      <c r="C941" s="13">
        <f t="shared" si="57"/>
        <v>420645.16129032266</v>
      </c>
      <c r="G941" s="33">
        <v>4152.0737327188945</v>
      </c>
      <c r="H941" s="13">
        <f t="shared" si="58"/>
        <v>207603.68663594473</v>
      </c>
      <c r="I941" s="13">
        <f t="shared" si="59"/>
        <v>-209354.83870967739</v>
      </c>
    </row>
    <row r="942" spans="1:9" x14ac:dyDescent="0.25">
      <c r="A942" s="33">
        <v>13043.733024079103</v>
      </c>
      <c r="B942">
        <f t="shared" si="56"/>
        <v>300000</v>
      </c>
      <c r="C942" s="13">
        <f t="shared" si="57"/>
        <v>413061.31168553722</v>
      </c>
      <c r="G942" s="33">
        <v>4043.7330240791043</v>
      </c>
      <c r="H942" s="13">
        <f t="shared" si="58"/>
        <v>202186.6512039552</v>
      </c>
      <c r="I942" s="13">
        <f t="shared" si="59"/>
        <v>-216938.68831446272</v>
      </c>
    </row>
    <row r="943" spans="1:9" x14ac:dyDescent="0.25">
      <c r="A943" s="33">
        <v>15600.726340525529</v>
      </c>
      <c r="B943">
        <f t="shared" si="56"/>
        <v>300000</v>
      </c>
      <c r="C943" s="13">
        <f t="shared" si="57"/>
        <v>550000</v>
      </c>
      <c r="G943" s="33">
        <v>6600.7263405255289</v>
      </c>
      <c r="H943" s="13">
        <f t="shared" si="58"/>
        <v>300000</v>
      </c>
      <c r="I943" s="13">
        <f t="shared" si="59"/>
        <v>-37949.15616321296</v>
      </c>
    </row>
    <row r="944" spans="1:9" x14ac:dyDescent="0.25">
      <c r="A944" s="33">
        <v>14307.504501480147</v>
      </c>
      <c r="B944">
        <f t="shared" si="56"/>
        <v>300000</v>
      </c>
      <c r="C944" s="13">
        <f t="shared" si="57"/>
        <v>501525.31510361028</v>
      </c>
      <c r="G944" s="33">
        <v>5307.5045014801472</v>
      </c>
      <c r="H944" s="13">
        <f t="shared" si="58"/>
        <v>265375.22507400735</v>
      </c>
      <c r="I944" s="13">
        <f t="shared" si="59"/>
        <v>-128474.68489638972</v>
      </c>
    </row>
    <row r="945" spans="1:9" x14ac:dyDescent="0.25">
      <c r="A945" s="33">
        <v>12333.109530930509</v>
      </c>
      <c r="B945">
        <f t="shared" si="56"/>
        <v>300000</v>
      </c>
      <c r="C945" s="13">
        <f t="shared" si="57"/>
        <v>363317.66716513562</v>
      </c>
      <c r="G945" s="33">
        <v>3333.1095309305092</v>
      </c>
      <c r="H945" s="13">
        <f t="shared" si="58"/>
        <v>166655.47654652546</v>
      </c>
      <c r="I945" s="13">
        <f t="shared" si="59"/>
        <v>-266682.33283486438</v>
      </c>
    </row>
    <row r="946" spans="1:9" x14ac:dyDescent="0.25">
      <c r="A946" s="33">
        <v>13481.673635059664</v>
      </c>
      <c r="B946">
        <f t="shared" si="56"/>
        <v>300000</v>
      </c>
      <c r="C946" s="13">
        <f t="shared" si="57"/>
        <v>443717.15445417643</v>
      </c>
      <c r="G946" s="33">
        <v>4481.6736350596639</v>
      </c>
      <c r="H946" s="13">
        <f t="shared" si="58"/>
        <v>224083.68175298319</v>
      </c>
      <c r="I946" s="13">
        <f t="shared" si="59"/>
        <v>-186282.84554582351</v>
      </c>
    </row>
    <row r="947" spans="1:9" x14ac:dyDescent="0.25">
      <c r="A947" s="33">
        <v>13868.800927762688</v>
      </c>
      <c r="B947">
        <f t="shared" si="56"/>
        <v>300000</v>
      </c>
      <c r="C947" s="13">
        <f t="shared" si="57"/>
        <v>470816.0649433881</v>
      </c>
      <c r="G947" s="33">
        <v>4868.8009277626879</v>
      </c>
      <c r="H947" s="13">
        <f t="shared" si="58"/>
        <v>243440.04638813439</v>
      </c>
      <c r="I947" s="13">
        <f t="shared" si="59"/>
        <v>-159183.93505661184</v>
      </c>
    </row>
    <row r="948" spans="1:9" x14ac:dyDescent="0.25">
      <c r="A948" s="33">
        <v>15181.402020325328</v>
      </c>
      <c r="B948">
        <f t="shared" si="56"/>
        <v>300000</v>
      </c>
      <c r="C948" s="13">
        <f t="shared" si="57"/>
        <v>550000</v>
      </c>
      <c r="G948" s="33">
        <v>6181.4020203253276</v>
      </c>
      <c r="H948" s="13">
        <f t="shared" si="58"/>
        <v>300000</v>
      </c>
      <c r="I948" s="13">
        <f t="shared" si="59"/>
        <v>-67301.858577227045</v>
      </c>
    </row>
    <row r="949" spans="1:9" x14ac:dyDescent="0.25">
      <c r="A949" s="33">
        <v>14404.553361613818</v>
      </c>
      <c r="B949">
        <f t="shared" si="56"/>
        <v>300000</v>
      </c>
      <c r="C949" s="13">
        <f t="shared" si="57"/>
        <v>508318.73531296733</v>
      </c>
      <c r="G949" s="33">
        <v>5404.5533616138182</v>
      </c>
      <c r="H949" s="13">
        <f t="shared" si="58"/>
        <v>270227.6680806909</v>
      </c>
      <c r="I949" s="13">
        <f t="shared" si="59"/>
        <v>-121681.26468703273</v>
      </c>
    </row>
    <row r="950" spans="1:9" x14ac:dyDescent="0.25">
      <c r="A950" s="33">
        <v>13002.227851191748</v>
      </c>
      <c r="B950">
        <f t="shared" si="56"/>
        <v>300000</v>
      </c>
      <c r="C950" s="13">
        <f t="shared" si="57"/>
        <v>410155.94958342239</v>
      </c>
      <c r="G950" s="33">
        <v>4002.2278511917475</v>
      </c>
      <c r="H950" s="13">
        <f t="shared" si="58"/>
        <v>200111.39255958737</v>
      </c>
      <c r="I950" s="13">
        <f t="shared" si="59"/>
        <v>-219844.05041657767</v>
      </c>
    </row>
    <row r="951" spans="1:9" x14ac:dyDescent="0.25">
      <c r="A951" s="33">
        <v>13659.749137852108</v>
      </c>
      <c r="B951">
        <f t="shared" si="56"/>
        <v>300000</v>
      </c>
      <c r="C951" s="13">
        <f t="shared" si="57"/>
        <v>456182.43964964757</v>
      </c>
      <c r="G951" s="33">
        <v>4659.7491378521072</v>
      </c>
      <c r="H951" s="13">
        <f t="shared" si="58"/>
        <v>232987.45689260535</v>
      </c>
      <c r="I951" s="13">
        <f t="shared" si="59"/>
        <v>-173817.56035035249</v>
      </c>
    </row>
    <row r="952" spans="1:9" x14ac:dyDescent="0.25">
      <c r="A952" s="33">
        <v>14080.751976073489</v>
      </c>
      <c r="B952">
        <f t="shared" si="56"/>
        <v>300000</v>
      </c>
      <c r="C952" s="13">
        <f t="shared" si="57"/>
        <v>485652.63832514419</v>
      </c>
      <c r="G952" s="33">
        <v>5080.7519760734885</v>
      </c>
      <c r="H952" s="13">
        <f t="shared" si="58"/>
        <v>254037.59880367442</v>
      </c>
      <c r="I952" s="13">
        <f t="shared" si="59"/>
        <v>-144347.36167485581</v>
      </c>
    </row>
    <row r="953" spans="1:9" x14ac:dyDescent="0.25">
      <c r="A953" s="33">
        <v>12900.296029541918</v>
      </c>
      <c r="B953">
        <f t="shared" si="56"/>
        <v>300000</v>
      </c>
      <c r="C953" s="13">
        <f t="shared" si="57"/>
        <v>403020.72206793423</v>
      </c>
      <c r="G953" s="33">
        <v>3900.2960295419171</v>
      </c>
      <c r="H953" s="13">
        <f t="shared" si="58"/>
        <v>195014.80147709584</v>
      </c>
      <c r="I953" s="13">
        <f t="shared" si="59"/>
        <v>-226979.27793206583</v>
      </c>
    </row>
    <row r="954" spans="1:9" x14ac:dyDescent="0.25">
      <c r="A954" s="33">
        <v>16903.56151005585</v>
      </c>
      <c r="B954">
        <f t="shared" si="56"/>
        <v>300000</v>
      </c>
      <c r="C954" s="13">
        <f t="shared" si="57"/>
        <v>550000</v>
      </c>
      <c r="G954" s="33">
        <v>7903.5615100558489</v>
      </c>
      <c r="H954" s="13">
        <f t="shared" si="58"/>
        <v>300000</v>
      </c>
      <c r="I954" s="13">
        <f t="shared" si="59"/>
        <v>53249.305703909369</v>
      </c>
    </row>
    <row r="955" spans="1:9" x14ac:dyDescent="0.25">
      <c r="A955" s="33">
        <v>13876.888332773828</v>
      </c>
      <c r="B955">
        <f t="shared" si="56"/>
        <v>300000</v>
      </c>
      <c r="C955" s="13">
        <f t="shared" si="57"/>
        <v>471382.18329416797</v>
      </c>
      <c r="G955" s="33">
        <v>4876.8883327738276</v>
      </c>
      <c r="H955" s="13">
        <f t="shared" si="58"/>
        <v>243844.41663869139</v>
      </c>
      <c r="I955" s="13">
        <f t="shared" si="59"/>
        <v>-158617.81670583208</v>
      </c>
    </row>
    <row r="956" spans="1:9" x14ac:dyDescent="0.25">
      <c r="A956" s="33">
        <v>12402.539139988403</v>
      </c>
      <c r="B956">
        <f t="shared" si="56"/>
        <v>300000</v>
      </c>
      <c r="C956" s="13">
        <f t="shared" si="57"/>
        <v>368177.73979918822</v>
      </c>
      <c r="G956" s="33">
        <v>3402.5391399884029</v>
      </c>
      <c r="H956" s="13">
        <f t="shared" si="58"/>
        <v>170126.95699942013</v>
      </c>
      <c r="I956" s="13">
        <f t="shared" si="59"/>
        <v>-261822.26020081178</v>
      </c>
    </row>
    <row r="957" spans="1:9" x14ac:dyDescent="0.25">
      <c r="A957" s="33">
        <v>16805.902279732658</v>
      </c>
      <c r="B957">
        <f t="shared" si="56"/>
        <v>300000</v>
      </c>
      <c r="C957" s="13">
        <f t="shared" si="57"/>
        <v>550000</v>
      </c>
      <c r="G957" s="33">
        <v>7805.9022797326579</v>
      </c>
      <c r="H957" s="13">
        <f t="shared" si="58"/>
        <v>300000</v>
      </c>
      <c r="I957" s="13">
        <f t="shared" si="59"/>
        <v>46413.159581286018</v>
      </c>
    </row>
    <row r="958" spans="1:9" x14ac:dyDescent="0.25">
      <c r="A958" s="33">
        <v>16201.788384655294</v>
      </c>
      <c r="B958">
        <f t="shared" si="56"/>
        <v>300000</v>
      </c>
      <c r="C958" s="13">
        <f t="shared" si="57"/>
        <v>550000</v>
      </c>
      <c r="G958" s="33">
        <v>7201.7883846552932</v>
      </c>
      <c r="H958" s="13">
        <f t="shared" si="58"/>
        <v>300000</v>
      </c>
      <c r="I958" s="13">
        <f t="shared" si="59"/>
        <v>4125.186925870541</v>
      </c>
    </row>
    <row r="959" spans="1:9" x14ac:dyDescent="0.25">
      <c r="A959" s="33">
        <v>15057.802056947539</v>
      </c>
      <c r="B959">
        <f t="shared" si="56"/>
        <v>300000</v>
      </c>
      <c r="C959" s="13">
        <f t="shared" si="57"/>
        <v>550000</v>
      </c>
      <c r="G959" s="33">
        <v>6057.8020569475393</v>
      </c>
      <c r="H959" s="13">
        <f t="shared" si="58"/>
        <v>300000</v>
      </c>
      <c r="I959" s="13">
        <f t="shared" si="59"/>
        <v>-75953.856013672252</v>
      </c>
    </row>
    <row r="960" spans="1:9" x14ac:dyDescent="0.25">
      <c r="A960" s="33">
        <v>15275.399029511398</v>
      </c>
      <c r="B960">
        <f t="shared" si="56"/>
        <v>300000</v>
      </c>
      <c r="C960" s="13">
        <f t="shared" si="57"/>
        <v>550000</v>
      </c>
      <c r="G960" s="33">
        <v>6275.399029511399</v>
      </c>
      <c r="H960" s="13">
        <f t="shared" si="58"/>
        <v>300000</v>
      </c>
      <c r="I960" s="13">
        <f t="shared" si="59"/>
        <v>-60722.067934202089</v>
      </c>
    </row>
    <row r="961" spans="1:9" x14ac:dyDescent="0.25">
      <c r="A961" s="33">
        <v>13012.909329508348</v>
      </c>
      <c r="B961">
        <f t="shared" si="56"/>
        <v>300000</v>
      </c>
      <c r="C961" s="13">
        <f t="shared" si="57"/>
        <v>410903.65306558437</v>
      </c>
      <c r="G961" s="33">
        <v>4012.9093295083467</v>
      </c>
      <c r="H961" s="13">
        <f t="shared" si="58"/>
        <v>200645.46647541734</v>
      </c>
      <c r="I961" s="13">
        <f t="shared" si="59"/>
        <v>-219096.34693441575</v>
      </c>
    </row>
    <row r="962" spans="1:9" x14ac:dyDescent="0.25">
      <c r="A962" s="33">
        <v>15886.837366863003</v>
      </c>
      <c r="B962">
        <f t="shared" si="56"/>
        <v>300000</v>
      </c>
      <c r="C962" s="13">
        <f t="shared" si="57"/>
        <v>550000</v>
      </c>
      <c r="G962" s="33">
        <v>6886.8373668630029</v>
      </c>
      <c r="H962" s="13">
        <f t="shared" si="58"/>
        <v>300000</v>
      </c>
      <c r="I962" s="13">
        <f t="shared" si="59"/>
        <v>-17921.384319589823</v>
      </c>
    </row>
    <row r="963" spans="1:9" x14ac:dyDescent="0.25">
      <c r="A963" s="33">
        <v>12733.664967802972</v>
      </c>
      <c r="B963">
        <f t="shared" si="56"/>
        <v>300000</v>
      </c>
      <c r="C963" s="13">
        <f t="shared" si="57"/>
        <v>391356.54774620803</v>
      </c>
      <c r="G963" s="33">
        <v>3733.6649678029726</v>
      </c>
      <c r="H963" s="13">
        <f t="shared" si="58"/>
        <v>186683.24839014863</v>
      </c>
      <c r="I963" s="13">
        <f t="shared" si="59"/>
        <v>-238643.45225379191</v>
      </c>
    </row>
    <row r="964" spans="1:9" x14ac:dyDescent="0.25">
      <c r="A964" s="33">
        <v>12104.068117313151</v>
      </c>
      <c r="B964">
        <f t="shared" si="56"/>
        <v>300000</v>
      </c>
      <c r="C964" s="13">
        <f t="shared" si="57"/>
        <v>347284.76821192051</v>
      </c>
      <c r="G964" s="33">
        <v>3104.0681173131507</v>
      </c>
      <c r="H964" s="13">
        <f t="shared" si="58"/>
        <v>155203.40586565752</v>
      </c>
      <c r="I964" s="13">
        <f t="shared" si="59"/>
        <v>-282715.23178807949</v>
      </c>
    </row>
    <row r="965" spans="1:9" x14ac:dyDescent="0.25">
      <c r="A965" s="33">
        <v>12811.334574419385</v>
      </c>
      <c r="B965">
        <f t="shared" si="56"/>
        <v>300000</v>
      </c>
      <c r="C965" s="13">
        <f t="shared" si="57"/>
        <v>396793.42020935693</v>
      </c>
      <c r="G965" s="33">
        <v>3811.3345744193853</v>
      </c>
      <c r="H965" s="13">
        <f t="shared" si="58"/>
        <v>190566.72872096926</v>
      </c>
      <c r="I965" s="13">
        <f t="shared" si="59"/>
        <v>-233206.57979064301</v>
      </c>
    </row>
    <row r="966" spans="1:9" x14ac:dyDescent="0.25">
      <c r="A966" s="33">
        <v>16077.120273445846</v>
      </c>
      <c r="B966">
        <f t="shared" si="56"/>
        <v>300000</v>
      </c>
      <c r="C966" s="13">
        <f t="shared" si="57"/>
        <v>550000</v>
      </c>
      <c r="G966" s="33">
        <v>7077.1202734458457</v>
      </c>
      <c r="H966" s="13">
        <f t="shared" si="58"/>
        <v>300000</v>
      </c>
      <c r="I966" s="13">
        <f t="shared" si="59"/>
        <v>-4601.5808587907813</v>
      </c>
    </row>
    <row r="967" spans="1:9" x14ac:dyDescent="0.25">
      <c r="A967" s="33">
        <v>12088.045899838253</v>
      </c>
      <c r="B967">
        <f t="shared" si="56"/>
        <v>300000</v>
      </c>
      <c r="C967" s="13">
        <f t="shared" si="57"/>
        <v>346163.21298867767</v>
      </c>
      <c r="G967" s="33">
        <v>3088.0458998382519</v>
      </c>
      <c r="H967" s="13">
        <f t="shared" si="58"/>
        <v>154402.29499191258</v>
      </c>
      <c r="I967" s="13">
        <f t="shared" si="59"/>
        <v>-283836.78701132233</v>
      </c>
    </row>
    <row r="968" spans="1:9" x14ac:dyDescent="0.25">
      <c r="A968" s="33">
        <v>13218.909268471329</v>
      </c>
      <c r="B968">
        <f t="shared" si="56"/>
        <v>300000</v>
      </c>
      <c r="C968" s="13">
        <f t="shared" si="57"/>
        <v>425323.64879299304</v>
      </c>
      <c r="G968" s="33">
        <v>4218.9092684713278</v>
      </c>
      <c r="H968" s="13">
        <f t="shared" si="58"/>
        <v>210945.4634235664</v>
      </c>
      <c r="I968" s="13">
        <f t="shared" si="59"/>
        <v>-204676.35120700707</v>
      </c>
    </row>
    <row r="969" spans="1:9" x14ac:dyDescent="0.25">
      <c r="A969" s="33">
        <v>15066.652424695578</v>
      </c>
      <c r="B969">
        <f t="shared" si="56"/>
        <v>300000</v>
      </c>
      <c r="C969" s="13">
        <f t="shared" si="57"/>
        <v>550000</v>
      </c>
      <c r="G969" s="33">
        <v>6066.6524246955778</v>
      </c>
      <c r="H969" s="13">
        <f t="shared" si="58"/>
        <v>300000</v>
      </c>
      <c r="I969" s="13">
        <f t="shared" si="59"/>
        <v>-75334.330271309533</v>
      </c>
    </row>
    <row r="970" spans="1:9" x14ac:dyDescent="0.25">
      <c r="A970" s="33">
        <v>13107.211523789178</v>
      </c>
      <c r="B970">
        <f t="shared" si="56"/>
        <v>300000</v>
      </c>
      <c r="C970" s="13">
        <f t="shared" si="57"/>
        <v>417504.80666524242</v>
      </c>
      <c r="G970" s="33">
        <v>4107.2115237891785</v>
      </c>
      <c r="H970" s="13">
        <f t="shared" si="58"/>
        <v>205360.57618945892</v>
      </c>
      <c r="I970" s="13">
        <f t="shared" si="59"/>
        <v>-212495.19333475753</v>
      </c>
    </row>
    <row r="971" spans="1:9" x14ac:dyDescent="0.25">
      <c r="A971" s="33">
        <v>12821.558275093845</v>
      </c>
      <c r="B971">
        <f t="shared" ref="B971:B1009" si="60">MIN(A971,6000)*50</f>
        <v>300000</v>
      </c>
      <c r="C971" s="13">
        <f t="shared" ref="C971:C1009" si="61">MIN(A971,$C$3)*$C$6-500000</f>
        <v>397509.07925656915</v>
      </c>
      <c r="G971" s="33">
        <v>3821.5582750938443</v>
      </c>
      <c r="H971" s="13">
        <f t="shared" ref="H971:H1009" si="62">MIN(G971,6000)*50</f>
        <v>191077.91375469221</v>
      </c>
      <c r="I971" s="13">
        <f t="shared" ref="I971:I1009" si="63">MIN(G971,15000)*70-500000</f>
        <v>-232490.92074343091</v>
      </c>
    </row>
    <row r="972" spans="1:9" x14ac:dyDescent="0.25">
      <c r="A972" s="33">
        <v>15908.200323496199</v>
      </c>
      <c r="B972">
        <f t="shared" si="60"/>
        <v>300000</v>
      </c>
      <c r="C972" s="13">
        <f t="shared" si="61"/>
        <v>550000</v>
      </c>
      <c r="G972" s="33">
        <v>6908.2003234962003</v>
      </c>
      <c r="H972" s="13">
        <f t="shared" si="62"/>
        <v>300000</v>
      </c>
      <c r="I972" s="13">
        <f t="shared" si="63"/>
        <v>-16425.97735526599</v>
      </c>
    </row>
    <row r="973" spans="1:9" x14ac:dyDescent="0.25">
      <c r="A973" s="33">
        <v>16246.650593585009</v>
      </c>
      <c r="B973">
        <f t="shared" si="60"/>
        <v>300000</v>
      </c>
      <c r="C973" s="13">
        <f t="shared" si="61"/>
        <v>550000</v>
      </c>
      <c r="G973" s="33">
        <v>7246.6505935850091</v>
      </c>
      <c r="H973" s="13">
        <f t="shared" si="62"/>
        <v>300000</v>
      </c>
      <c r="I973" s="13">
        <f t="shared" si="63"/>
        <v>7265.5415509506129</v>
      </c>
    </row>
    <row r="974" spans="1:9" x14ac:dyDescent="0.25">
      <c r="A974" s="33">
        <v>15077.486495559557</v>
      </c>
      <c r="B974">
        <f t="shared" si="60"/>
        <v>300000</v>
      </c>
      <c r="C974" s="13">
        <f t="shared" si="61"/>
        <v>550000</v>
      </c>
      <c r="G974" s="33">
        <v>6077.4864955595567</v>
      </c>
      <c r="H974" s="13">
        <f t="shared" si="62"/>
        <v>300000</v>
      </c>
      <c r="I974" s="13">
        <f t="shared" si="63"/>
        <v>-74575.945310831012</v>
      </c>
    </row>
    <row r="975" spans="1:9" x14ac:dyDescent="0.25">
      <c r="A975" s="33">
        <v>15626.056703390606</v>
      </c>
      <c r="B975">
        <f t="shared" si="60"/>
        <v>300000</v>
      </c>
      <c r="C975" s="13">
        <f t="shared" si="61"/>
        <v>550000</v>
      </c>
      <c r="G975" s="33">
        <v>6626.0567033906063</v>
      </c>
      <c r="H975" s="13">
        <f t="shared" si="62"/>
        <v>300000</v>
      </c>
      <c r="I975" s="13">
        <f t="shared" si="63"/>
        <v>-36176.030762657581</v>
      </c>
    </row>
    <row r="976" spans="1:9" x14ac:dyDescent="0.25">
      <c r="A976" s="33">
        <v>15617.816705832087</v>
      </c>
      <c r="B976">
        <f t="shared" si="60"/>
        <v>300000</v>
      </c>
      <c r="C976" s="13">
        <f t="shared" si="61"/>
        <v>550000</v>
      </c>
      <c r="G976" s="33">
        <v>6617.8167058320869</v>
      </c>
      <c r="H976" s="13">
        <f t="shared" si="62"/>
        <v>300000</v>
      </c>
      <c r="I976" s="13">
        <f t="shared" si="63"/>
        <v>-36752.83059175394</v>
      </c>
    </row>
    <row r="977" spans="1:9" x14ac:dyDescent="0.25">
      <c r="A977" s="33">
        <v>14946.714682454909</v>
      </c>
      <c r="B977">
        <f t="shared" si="60"/>
        <v>300000</v>
      </c>
      <c r="C977" s="13">
        <f t="shared" si="61"/>
        <v>546270.0277718436</v>
      </c>
      <c r="G977" s="33">
        <v>5946.7146824549091</v>
      </c>
      <c r="H977" s="13">
        <f t="shared" si="62"/>
        <v>297335.73412274546</v>
      </c>
      <c r="I977" s="13">
        <f t="shared" si="63"/>
        <v>-83729.972228156344</v>
      </c>
    </row>
    <row r="978" spans="1:9" x14ac:dyDescent="0.25">
      <c r="A978" s="33">
        <v>13897.793511764885</v>
      </c>
      <c r="B978">
        <f t="shared" si="60"/>
        <v>300000</v>
      </c>
      <c r="C978" s="13">
        <f t="shared" si="61"/>
        <v>472845.54582354194</v>
      </c>
      <c r="G978" s="33">
        <v>4897.7935117648849</v>
      </c>
      <c r="H978" s="13">
        <f t="shared" si="62"/>
        <v>244889.67558824425</v>
      </c>
      <c r="I978" s="13">
        <f t="shared" si="63"/>
        <v>-157154.45417645806</v>
      </c>
    </row>
    <row r="979" spans="1:9" x14ac:dyDescent="0.25">
      <c r="A979" s="33">
        <v>14177.80083620716</v>
      </c>
      <c r="B979">
        <f t="shared" si="60"/>
        <v>300000</v>
      </c>
      <c r="C979" s="13">
        <f t="shared" si="61"/>
        <v>492446.05853450112</v>
      </c>
      <c r="G979" s="33">
        <v>5177.8008362071596</v>
      </c>
      <c r="H979" s="13">
        <f t="shared" si="62"/>
        <v>258890.04181035797</v>
      </c>
      <c r="I979" s="13">
        <f t="shared" si="63"/>
        <v>-137553.94146549882</v>
      </c>
    </row>
    <row r="980" spans="1:9" x14ac:dyDescent="0.25">
      <c r="A980" s="33">
        <v>15598.284859767449</v>
      </c>
      <c r="B980">
        <f t="shared" si="60"/>
        <v>300000</v>
      </c>
      <c r="C980" s="13">
        <f t="shared" si="61"/>
        <v>550000</v>
      </c>
      <c r="G980" s="33">
        <v>6598.2848597674492</v>
      </c>
      <c r="H980" s="13">
        <f t="shared" si="62"/>
        <v>300000</v>
      </c>
      <c r="I980" s="13">
        <f t="shared" si="63"/>
        <v>-38120.059816278575</v>
      </c>
    </row>
    <row r="981" spans="1:9" x14ac:dyDescent="0.25">
      <c r="A981" s="33">
        <v>16076.815088351086</v>
      </c>
      <c r="B981">
        <f t="shared" si="60"/>
        <v>300000</v>
      </c>
      <c r="C981" s="13">
        <f t="shared" si="61"/>
        <v>550000</v>
      </c>
      <c r="G981" s="33">
        <v>7076.8150883510853</v>
      </c>
      <c r="H981" s="13">
        <f t="shared" si="62"/>
        <v>300000</v>
      </c>
      <c r="I981" s="13">
        <f t="shared" si="63"/>
        <v>-4622.9438154240488</v>
      </c>
    </row>
    <row r="982" spans="1:9" x14ac:dyDescent="0.25">
      <c r="A982" s="33">
        <v>13357.615894039734</v>
      </c>
      <c r="B982">
        <f t="shared" si="60"/>
        <v>300000</v>
      </c>
      <c r="C982" s="13">
        <f t="shared" si="61"/>
        <v>435033.11258278147</v>
      </c>
      <c r="G982" s="33">
        <v>4357.6158940397354</v>
      </c>
      <c r="H982" s="13">
        <f t="shared" si="62"/>
        <v>217880.79470198677</v>
      </c>
      <c r="I982" s="13">
        <f t="shared" si="63"/>
        <v>-194966.88741721853</v>
      </c>
    </row>
    <row r="983" spans="1:9" x14ac:dyDescent="0.25">
      <c r="A983" s="33">
        <v>14054.506057924131</v>
      </c>
      <c r="B983">
        <f t="shared" si="60"/>
        <v>300000</v>
      </c>
      <c r="C983" s="13">
        <f t="shared" si="61"/>
        <v>483815.42405468912</v>
      </c>
      <c r="G983" s="33">
        <v>5054.5060579241308</v>
      </c>
      <c r="H983" s="13">
        <f t="shared" si="62"/>
        <v>252725.30289620653</v>
      </c>
      <c r="I983" s="13">
        <f t="shared" si="63"/>
        <v>-146184.57594531082</v>
      </c>
    </row>
    <row r="984" spans="1:9" x14ac:dyDescent="0.25">
      <c r="A984" s="33">
        <v>15779.412213507492</v>
      </c>
      <c r="B984">
        <f t="shared" si="60"/>
        <v>300000</v>
      </c>
      <c r="C984" s="13">
        <f t="shared" si="61"/>
        <v>550000</v>
      </c>
      <c r="G984" s="33">
        <v>6779.4122135074922</v>
      </c>
      <c r="H984" s="13">
        <f t="shared" si="62"/>
        <v>300000</v>
      </c>
      <c r="I984" s="13">
        <f t="shared" si="63"/>
        <v>-25441.145054475521</v>
      </c>
    </row>
    <row r="985" spans="1:9" x14ac:dyDescent="0.25">
      <c r="A985" s="33">
        <v>12359.660634174626</v>
      </c>
      <c r="B985">
        <f t="shared" si="60"/>
        <v>300000</v>
      </c>
      <c r="C985" s="13">
        <f t="shared" si="61"/>
        <v>365176.24439222389</v>
      </c>
      <c r="G985" s="33">
        <v>3359.6606341746269</v>
      </c>
      <c r="H985" s="13">
        <f t="shared" si="62"/>
        <v>167983.03170873135</v>
      </c>
      <c r="I985" s="13">
        <f t="shared" si="63"/>
        <v>-264823.75560777611</v>
      </c>
    </row>
    <row r="986" spans="1:9" x14ac:dyDescent="0.25">
      <c r="A986" s="33">
        <v>15251.89977721488</v>
      </c>
      <c r="B986">
        <f t="shared" si="60"/>
        <v>300000</v>
      </c>
      <c r="C986" s="13">
        <f t="shared" si="61"/>
        <v>550000</v>
      </c>
      <c r="G986" s="33">
        <v>6251.8997772148805</v>
      </c>
      <c r="H986" s="13">
        <f t="shared" si="62"/>
        <v>300000</v>
      </c>
      <c r="I986" s="13">
        <f t="shared" si="63"/>
        <v>-62367.015594958386</v>
      </c>
    </row>
    <row r="987" spans="1:9" x14ac:dyDescent="0.25">
      <c r="A987" s="33">
        <v>12481.582079531236</v>
      </c>
      <c r="B987">
        <f t="shared" si="60"/>
        <v>300000</v>
      </c>
      <c r="C987" s="13">
        <f t="shared" si="61"/>
        <v>373710.7455671865</v>
      </c>
      <c r="G987" s="33">
        <v>3481.5820795312356</v>
      </c>
      <c r="H987" s="13">
        <f t="shared" si="62"/>
        <v>174079.10397656178</v>
      </c>
      <c r="I987" s="13">
        <f t="shared" si="63"/>
        <v>-256289.2544328135</v>
      </c>
    </row>
    <row r="988" spans="1:9" x14ac:dyDescent="0.25">
      <c r="A988" s="33">
        <v>14155.064546647542</v>
      </c>
      <c r="B988">
        <f t="shared" si="60"/>
        <v>300000</v>
      </c>
      <c r="C988" s="13">
        <f t="shared" si="61"/>
        <v>490854.5182653279</v>
      </c>
      <c r="G988" s="33">
        <v>5155.0645466475416</v>
      </c>
      <c r="H988" s="13">
        <f t="shared" si="62"/>
        <v>257753.22733237708</v>
      </c>
      <c r="I988" s="13">
        <f t="shared" si="63"/>
        <v>-139145.4817346721</v>
      </c>
    </row>
    <row r="989" spans="1:9" x14ac:dyDescent="0.25">
      <c r="A989" s="33">
        <v>13301.767021698661</v>
      </c>
      <c r="B989">
        <f t="shared" si="60"/>
        <v>300000</v>
      </c>
      <c r="C989" s="13">
        <f t="shared" si="61"/>
        <v>431123.69151890627</v>
      </c>
      <c r="G989" s="33">
        <v>4301.7670216986598</v>
      </c>
      <c r="H989" s="13">
        <f t="shared" si="62"/>
        <v>215088.35108493301</v>
      </c>
      <c r="I989" s="13">
        <f t="shared" si="63"/>
        <v>-198876.30848109379</v>
      </c>
    </row>
    <row r="990" spans="1:9" x14ac:dyDescent="0.25">
      <c r="A990" s="33">
        <v>13094.54634235664</v>
      </c>
      <c r="B990">
        <f t="shared" si="60"/>
        <v>300000</v>
      </c>
      <c r="C990" s="13">
        <f t="shared" si="61"/>
        <v>416618.24396496476</v>
      </c>
      <c r="G990" s="33">
        <v>4094.5463423566393</v>
      </c>
      <c r="H990" s="13">
        <f t="shared" si="62"/>
        <v>204727.31711783196</v>
      </c>
      <c r="I990" s="13">
        <f t="shared" si="63"/>
        <v>-213381.75603503524</v>
      </c>
    </row>
    <row r="991" spans="1:9" x14ac:dyDescent="0.25">
      <c r="A991" s="33">
        <v>15315.530869472335</v>
      </c>
      <c r="B991">
        <f t="shared" si="60"/>
        <v>300000</v>
      </c>
      <c r="C991" s="13">
        <f t="shared" si="61"/>
        <v>550000</v>
      </c>
      <c r="G991" s="33">
        <v>6315.5308694723353</v>
      </c>
      <c r="H991" s="13">
        <f t="shared" si="62"/>
        <v>300000</v>
      </c>
      <c r="I991" s="13">
        <f t="shared" si="63"/>
        <v>-57912.839136936527</v>
      </c>
    </row>
    <row r="992" spans="1:9" x14ac:dyDescent="0.25">
      <c r="A992" s="33">
        <v>16459.822382274848</v>
      </c>
      <c r="B992">
        <f t="shared" si="60"/>
        <v>300000</v>
      </c>
      <c r="C992" s="13">
        <f t="shared" si="61"/>
        <v>550000</v>
      </c>
      <c r="G992" s="33">
        <v>7459.8223822748496</v>
      </c>
      <c r="H992" s="13">
        <f t="shared" si="62"/>
        <v>300000</v>
      </c>
      <c r="I992" s="13">
        <f t="shared" si="63"/>
        <v>22187.566759239475</v>
      </c>
    </row>
    <row r="993" spans="1:9" x14ac:dyDescent="0.25">
      <c r="A993" s="33">
        <v>14290.566728720969</v>
      </c>
      <c r="B993">
        <f t="shared" si="60"/>
        <v>300000</v>
      </c>
      <c r="C993" s="13">
        <f t="shared" si="61"/>
        <v>500339.67101046781</v>
      </c>
      <c r="G993" s="33">
        <v>5290.566728720969</v>
      </c>
      <c r="H993" s="13">
        <f t="shared" si="62"/>
        <v>264528.33643604844</v>
      </c>
      <c r="I993" s="13">
        <f t="shared" si="63"/>
        <v>-129660.32898953219</v>
      </c>
    </row>
    <row r="994" spans="1:9" x14ac:dyDescent="0.25">
      <c r="A994" s="33">
        <v>15452.558977019562</v>
      </c>
      <c r="B994">
        <f t="shared" si="60"/>
        <v>300000</v>
      </c>
      <c r="C994" s="13">
        <f t="shared" si="61"/>
        <v>550000</v>
      </c>
      <c r="G994" s="33">
        <v>6452.558977019562</v>
      </c>
      <c r="H994" s="13">
        <f t="shared" si="62"/>
        <v>300000</v>
      </c>
      <c r="I994" s="13">
        <f t="shared" si="63"/>
        <v>-48320.871608630638</v>
      </c>
    </row>
    <row r="995" spans="1:9" x14ac:dyDescent="0.25">
      <c r="A995" s="33">
        <v>15169.042023987549</v>
      </c>
      <c r="B995">
        <f t="shared" si="60"/>
        <v>300000</v>
      </c>
      <c r="C995" s="13">
        <f t="shared" si="61"/>
        <v>550000</v>
      </c>
      <c r="G995" s="33">
        <v>6169.0420239875484</v>
      </c>
      <c r="H995" s="13">
        <f t="shared" si="62"/>
        <v>300000</v>
      </c>
      <c r="I995" s="13">
        <f t="shared" si="63"/>
        <v>-68167.058320871613</v>
      </c>
    </row>
    <row r="996" spans="1:9" x14ac:dyDescent="0.25">
      <c r="A996" s="33">
        <v>12416.119876705221</v>
      </c>
      <c r="B996">
        <f t="shared" si="60"/>
        <v>300000</v>
      </c>
      <c r="C996" s="13">
        <f t="shared" si="61"/>
        <v>369128.3913693655</v>
      </c>
      <c r="G996" s="33">
        <v>3416.1198767052219</v>
      </c>
      <c r="H996" s="13">
        <f t="shared" si="62"/>
        <v>170805.99383526109</v>
      </c>
      <c r="I996" s="13">
        <f t="shared" si="63"/>
        <v>-260871.60863063447</v>
      </c>
    </row>
    <row r="997" spans="1:9" x14ac:dyDescent="0.25">
      <c r="A997" s="33">
        <v>15974.883266701254</v>
      </c>
      <c r="B997">
        <f t="shared" si="60"/>
        <v>300000</v>
      </c>
      <c r="C997" s="13">
        <f t="shared" si="61"/>
        <v>550000</v>
      </c>
      <c r="G997" s="33">
        <v>6974.8832667012548</v>
      </c>
      <c r="H997" s="13">
        <f t="shared" si="62"/>
        <v>300000</v>
      </c>
      <c r="I997" s="13">
        <f t="shared" si="63"/>
        <v>-11758.171330912155</v>
      </c>
    </row>
    <row r="998" spans="1:9" x14ac:dyDescent="0.25">
      <c r="A998" s="33">
        <v>13428.571428571428</v>
      </c>
      <c r="B998">
        <f t="shared" si="60"/>
        <v>300000</v>
      </c>
      <c r="C998" s="13">
        <f t="shared" si="61"/>
        <v>439999.99999999988</v>
      </c>
      <c r="G998" s="33">
        <v>4428.5714285714284</v>
      </c>
      <c r="H998" s="13">
        <f t="shared" si="62"/>
        <v>221428.57142857142</v>
      </c>
      <c r="I998" s="13">
        <f t="shared" si="63"/>
        <v>-190000</v>
      </c>
    </row>
    <row r="999" spans="1:9" x14ac:dyDescent="0.25">
      <c r="A999" s="33">
        <v>12085.604419080171</v>
      </c>
      <c r="B999">
        <f t="shared" si="60"/>
        <v>300000</v>
      </c>
      <c r="C999" s="13">
        <f t="shared" si="61"/>
        <v>345992.30933561199</v>
      </c>
      <c r="G999" s="33">
        <v>3085.6044190801722</v>
      </c>
      <c r="H999" s="13">
        <f t="shared" si="62"/>
        <v>154280.2209540086</v>
      </c>
      <c r="I999" s="13">
        <f t="shared" si="63"/>
        <v>-284007.69066438795</v>
      </c>
    </row>
    <row r="1000" spans="1:9" x14ac:dyDescent="0.25">
      <c r="A1000" s="33">
        <v>14336.954863124485</v>
      </c>
      <c r="B1000">
        <f t="shared" si="60"/>
        <v>300000</v>
      </c>
      <c r="C1000" s="13">
        <f t="shared" si="61"/>
        <v>503586.84041871398</v>
      </c>
      <c r="G1000" s="33">
        <v>5336.9548631244852</v>
      </c>
      <c r="H1000" s="13">
        <f t="shared" si="62"/>
        <v>266847.74315622426</v>
      </c>
      <c r="I1000" s="13">
        <f t="shared" si="63"/>
        <v>-126413.15958128602</v>
      </c>
    </row>
    <row r="1001" spans="1:9" x14ac:dyDescent="0.25">
      <c r="A1001" s="33">
        <v>16584.948271126439</v>
      </c>
      <c r="B1001">
        <f t="shared" si="60"/>
        <v>300000</v>
      </c>
      <c r="C1001" s="13">
        <f t="shared" si="61"/>
        <v>550000</v>
      </c>
      <c r="G1001" s="33">
        <v>7584.9482711264382</v>
      </c>
      <c r="H1001" s="13">
        <f t="shared" si="62"/>
        <v>300000</v>
      </c>
      <c r="I1001" s="13">
        <f t="shared" si="63"/>
        <v>30946.378978850669</v>
      </c>
    </row>
    <row r="1002" spans="1:9" x14ac:dyDescent="0.25">
      <c r="A1002" s="33">
        <v>14326.731162450025</v>
      </c>
      <c r="B1002">
        <f t="shared" si="60"/>
        <v>300000</v>
      </c>
      <c r="C1002" s="13">
        <f t="shared" si="61"/>
        <v>502871.18137150176</v>
      </c>
      <c r="G1002" s="33">
        <v>5326.7311624500253</v>
      </c>
      <c r="H1002" s="13">
        <f t="shared" si="62"/>
        <v>266336.55812250124</v>
      </c>
      <c r="I1002" s="13">
        <f t="shared" si="63"/>
        <v>-127128.81862849824</v>
      </c>
    </row>
    <row r="1003" spans="1:9" x14ac:dyDescent="0.25">
      <c r="A1003" s="33">
        <v>15669.698171941283</v>
      </c>
      <c r="B1003">
        <f t="shared" si="60"/>
        <v>300000</v>
      </c>
      <c r="C1003" s="13">
        <f t="shared" si="61"/>
        <v>550000</v>
      </c>
      <c r="G1003" s="33">
        <v>6669.6981719412825</v>
      </c>
      <c r="H1003" s="13">
        <f t="shared" si="62"/>
        <v>300000</v>
      </c>
      <c r="I1003" s="13">
        <f t="shared" si="63"/>
        <v>-33121.12796411023</v>
      </c>
    </row>
    <row r="1004" spans="1:9" x14ac:dyDescent="0.25">
      <c r="A1004" s="33">
        <v>16361.552781762139</v>
      </c>
      <c r="B1004">
        <f t="shared" si="60"/>
        <v>300000</v>
      </c>
      <c r="C1004" s="13">
        <f t="shared" si="61"/>
        <v>550000</v>
      </c>
      <c r="G1004" s="33">
        <v>7361.5527817621387</v>
      </c>
      <c r="H1004" s="13">
        <f t="shared" si="62"/>
        <v>300000</v>
      </c>
      <c r="I1004" s="13">
        <f t="shared" si="63"/>
        <v>15308.694723349705</v>
      </c>
    </row>
    <row r="1005" spans="1:9" x14ac:dyDescent="0.25">
      <c r="A1005" s="33">
        <v>12347.911008026367</v>
      </c>
      <c r="B1005">
        <f t="shared" si="60"/>
        <v>300000</v>
      </c>
      <c r="C1005" s="13">
        <f t="shared" si="61"/>
        <v>364353.77056184574</v>
      </c>
      <c r="G1005" s="33">
        <v>3347.9110080263681</v>
      </c>
      <c r="H1005" s="13">
        <f t="shared" si="62"/>
        <v>167395.55040131841</v>
      </c>
      <c r="I1005" s="13">
        <f t="shared" si="63"/>
        <v>-265646.22943815426</v>
      </c>
    </row>
    <row r="1006" spans="1:9" x14ac:dyDescent="0.25">
      <c r="A1006" s="33">
        <v>16030.121768852809</v>
      </c>
      <c r="B1006">
        <f t="shared" si="60"/>
        <v>300000</v>
      </c>
      <c r="C1006" s="13">
        <f t="shared" si="61"/>
        <v>550000</v>
      </c>
      <c r="G1006" s="33">
        <v>7030.1217688528086</v>
      </c>
      <c r="H1006" s="13">
        <f t="shared" si="62"/>
        <v>300000</v>
      </c>
      <c r="I1006" s="13">
        <f t="shared" si="63"/>
        <v>-7891.4761803033762</v>
      </c>
    </row>
    <row r="1007" spans="1:9" x14ac:dyDescent="0.25">
      <c r="A1007" s="33">
        <v>15076.418347727897</v>
      </c>
      <c r="B1007">
        <f t="shared" si="60"/>
        <v>300000</v>
      </c>
      <c r="C1007" s="13">
        <f t="shared" si="61"/>
        <v>550000</v>
      </c>
      <c r="G1007" s="33">
        <v>6076.4183477278966</v>
      </c>
      <c r="H1007" s="13">
        <f t="shared" si="62"/>
        <v>300000</v>
      </c>
      <c r="I1007" s="13">
        <f t="shared" si="63"/>
        <v>-74650.715659047244</v>
      </c>
    </row>
    <row r="1008" spans="1:9" x14ac:dyDescent="0.25">
      <c r="A1008" s="33">
        <v>15108.005005035553</v>
      </c>
      <c r="B1008">
        <f t="shared" si="60"/>
        <v>300000</v>
      </c>
      <c r="C1008" s="13">
        <f t="shared" si="61"/>
        <v>550000</v>
      </c>
      <c r="G1008" s="33">
        <v>6108.0050050355539</v>
      </c>
      <c r="H1008" s="13">
        <f t="shared" si="62"/>
        <v>300000</v>
      </c>
      <c r="I1008" s="13">
        <f t="shared" si="63"/>
        <v>-72439.649647511251</v>
      </c>
    </row>
    <row r="1009" spans="1:9" x14ac:dyDescent="0.25">
      <c r="A1009" s="33">
        <v>13655.629139072847</v>
      </c>
      <c r="B1009">
        <f t="shared" si="60"/>
        <v>300000</v>
      </c>
      <c r="C1009" s="13">
        <f t="shared" si="61"/>
        <v>455894.0397350993</v>
      </c>
      <c r="G1009" s="33">
        <v>4655.6291390728475</v>
      </c>
      <c r="H1009" s="13">
        <f t="shared" si="62"/>
        <v>232781.45695364237</v>
      </c>
      <c r="I1009" s="13">
        <f t="shared" si="63"/>
        <v>-174105.9602649007</v>
      </c>
    </row>
  </sheetData>
  <mergeCells count="4">
    <mergeCell ref="A8:C8"/>
    <mergeCell ref="G8:I8"/>
    <mergeCell ref="J11:L11"/>
    <mergeCell ref="D11:F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kureshi sakil</cp:lastModifiedBy>
  <dcterms:created xsi:type="dcterms:W3CDTF">2023-03-08T05:46:17Z</dcterms:created>
  <dcterms:modified xsi:type="dcterms:W3CDTF">2026-03-15T05:58:42Z</dcterms:modified>
</cp:coreProperties>
</file>