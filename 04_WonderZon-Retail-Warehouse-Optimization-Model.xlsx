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res\OneDrive\Desktop\data for practice\ADA\ADA\"/>
    </mc:Choice>
  </mc:AlternateContent>
  <bookViews>
    <workbookView xWindow="-120" yWindow="-120" windowWidth="20730" windowHeight="11160"/>
  </bookViews>
  <sheets>
    <sheet name="Problem" sheetId="1" r:id="rId1"/>
    <sheet name="Solved" sheetId="3" r:id="rId2"/>
  </sheets>
  <definedNames>
    <definedName name="solver_adj" localSheetId="0" hidden="1">Problem!$D$13:$D$18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itr" localSheetId="0" hidden="1">2147483647</definedName>
    <definedName name="solver_lhs1" localSheetId="0" hidden="1">Problem!$B$13</definedName>
    <definedName name="solver_lhs2" localSheetId="0" hidden="1">Problem!$B$14</definedName>
    <definedName name="solver_lhs3" localSheetId="0" hidden="1">Problem!$B$16</definedName>
    <definedName name="solver_lhs4" localSheetId="0" hidden="1">Problem!$B$17</definedName>
    <definedName name="solver_lhs5" localSheetId="0" hidden="1">Problem!$B$18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um" localSheetId="0" hidden="1">5</definedName>
    <definedName name="solver_num" localSheetId="1" hidden="1">0</definedName>
    <definedName name="solver_nwt" localSheetId="0" hidden="1">1</definedName>
    <definedName name="solver_opt" localSheetId="0" hidden="1">Problem!$E$19</definedName>
    <definedName name="solver_opt" localSheetId="1" hidden="1">Solved!$B$16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hs1" localSheetId="0" hidden="1">Problem!$E$8</definedName>
    <definedName name="solver_rhs2" localSheetId="0" hidden="1">Problem!$E$9</definedName>
    <definedName name="solver_rhs3" localSheetId="0" hidden="1">Problem!$B$8</definedName>
    <definedName name="solver_rhs4" localSheetId="0" hidden="1">Problem!$B$9</definedName>
    <definedName name="solver_rhs5" localSheetId="0" hidden="1">Problem!$B$10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ihIxjgV7blEr8mtmcGWT+bNcckKYrYrFHsL9v6bf2C4="/>
    </ext>
  </extLst>
</workbook>
</file>

<file path=xl/calcChain.xml><?xml version="1.0" encoding="utf-8"?>
<calcChain xmlns="http://schemas.openxmlformats.org/spreadsheetml/2006/main">
  <c r="E18" i="3" l="1"/>
  <c r="B18" i="3"/>
  <c r="E17" i="3"/>
  <c r="B17" i="3"/>
  <c r="E16" i="3"/>
  <c r="B16" i="3"/>
  <c r="E15" i="3"/>
  <c r="E14" i="3"/>
  <c r="B14" i="3"/>
  <c r="E13" i="3"/>
  <c r="E19" i="3" s="1"/>
  <c r="B13" i="3"/>
</calcChain>
</file>

<file path=xl/sharedStrings.xml><?xml version="1.0" encoding="utf-8"?>
<sst xmlns="http://schemas.openxmlformats.org/spreadsheetml/2006/main" count="70" uniqueCount="33">
  <si>
    <t>WonderZon Retailer</t>
  </si>
  <si>
    <t>Delivery Centers</t>
  </si>
  <si>
    <t>From / To</t>
  </si>
  <si>
    <t>Bengaluru (B)</t>
  </si>
  <si>
    <t>Hyderabad (H)</t>
  </si>
  <si>
    <t xml:space="preserve">Chennai (C) </t>
  </si>
  <si>
    <t>Warehouses</t>
  </si>
  <si>
    <t>Gurgoan (G)</t>
  </si>
  <si>
    <t>Mumbai (M)</t>
  </si>
  <si>
    <t>Gurgoan</t>
  </si>
  <si>
    <t>Hyderbad(H)</t>
  </si>
  <si>
    <t>Mumbai</t>
  </si>
  <si>
    <t xml:space="preserve">Chennai(C) </t>
  </si>
  <si>
    <t>Route</t>
  </si>
  <si>
    <t>Quantity</t>
  </si>
  <si>
    <t>Cost</t>
  </si>
  <si>
    <t>Gurgoan (G) Shipping</t>
  </si>
  <si>
    <t>G-&gt;B</t>
  </si>
  <si>
    <t>Mumbai (M) Shipping</t>
  </si>
  <si>
    <t>G-&gt;H</t>
  </si>
  <si>
    <t>G-&gt;C</t>
  </si>
  <si>
    <t>Bangalore(B) receive</t>
  </si>
  <si>
    <t>M-&gt;B</t>
  </si>
  <si>
    <t>Hyderabad(H) receive</t>
  </si>
  <si>
    <t>M-&gt;H</t>
  </si>
  <si>
    <t>Chennai(C) receive</t>
  </si>
  <si>
    <t>M-&gt;C</t>
  </si>
  <si>
    <t>Total Cost</t>
  </si>
  <si>
    <t>GIVEN:</t>
  </si>
  <si>
    <t>Minimum Quantity Required</t>
  </si>
  <si>
    <t>Shipment capacity (Maximum Quantity)</t>
  </si>
  <si>
    <t>Cost= Quantity*cost for one quantity</t>
  </si>
  <si>
    <t xml:space="preserve"> 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</si>
</sst>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rgb="FFA5A5A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0" fillId="0" borderId="3" xfId="0" applyBorder="1"/>
    <xf numFmtId="1" fontId="3" fillId="0" borderId="1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7" xfId="0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" fontId="3" fillId="9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zoomScale="85" zoomScaleNormal="85" workbookViewId="0">
      <selection activeCell="F7" sqref="F7"/>
    </sheetView>
  </sheetViews>
  <sheetFormatPr defaultColWidth="14.42578125" defaultRowHeight="15" x14ac:dyDescent="0.25"/>
  <cols>
    <col min="1" max="1" width="21.85546875" bestFit="1" customWidth="1"/>
    <col min="2" max="2" width="30.42578125" bestFit="1" customWidth="1"/>
    <col min="3" max="3" width="14.7109375" customWidth="1"/>
    <col min="4" max="4" width="15.7109375" bestFit="1" customWidth="1"/>
    <col min="5" max="5" width="41.7109375" bestFit="1" customWidth="1"/>
    <col min="6" max="6" width="26.7109375" customWidth="1"/>
    <col min="7" max="26" width="9.140625" customWidth="1"/>
  </cols>
  <sheetData>
    <row r="1" spans="1:26" x14ac:dyDescent="0.25">
      <c r="A1" s="8" t="s">
        <v>28</v>
      </c>
      <c r="B1" s="9"/>
      <c r="C1" s="10"/>
      <c r="D1" s="10"/>
      <c r="E1" s="1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2" t="s">
        <v>0</v>
      </c>
      <c r="B2" s="42" t="s">
        <v>1</v>
      </c>
      <c r="C2" s="42"/>
      <c r="D2" s="42"/>
      <c r="E2" s="4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3"/>
      <c r="B3" s="4" t="s">
        <v>2</v>
      </c>
      <c r="C3" s="4" t="s">
        <v>3</v>
      </c>
      <c r="D3" s="4" t="s">
        <v>4</v>
      </c>
      <c r="E3" s="14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40" t="s">
        <v>6</v>
      </c>
      <c r="B4" s="4" t="s">
        <v>7</v>
      </c>
      <c r="C4" s="5">
        <v>116</v>
      </c>
      <c r="D4" s="5">
        <v>106</v>
      </c>
      <c r="E4" s="15">
        <v>115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41"/>
      <c r="B5" s="4" t="s">
        <v>8</v>
      </c>
      <c r="C5" s="5">
        <v>110</v>
      </c>
      <c r="D5" s="5">
        <v>95</v>
      </c>
      <c r="E5" s="15">
        <v>112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6"/>
      <c r="B6" s="6"/>
      <c r="C6" s="6"/>
      <c r="D6" s="6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29" t="s">
        <v>1</v>
      </c>
      <c r="B7" s="30" t="s">
        <v>29</v>
      </c>
      <c r="C7" s="24"/>
      <c r="D7" s="31" t="s">
        <v>6</v>
      </c>
      <c r="E7" s="29" t="s">
        <v>30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8" t="s">
        <v>3</v>
      </c>
      <c r="B8" s="21">
        <v>20</v>
      </c>
      <c r="C8" s="25"/>
      <c r="D8" s="23" t="s">
        <v>9</v>
      </c>
      <c r="E8" s="19">
        <v>25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8" t="s">
        <v>10</v>
      </c>
      <c r="B9" s="21">
        <v>25</v>
      </c>
      <c r="C9" s="25"/>
      <c r="D9" s="7" t="s">
        <v>11</v>
      </c>
      <c r="E9" s="19">
        <v>50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20" t="s">
        <v>12</v>
      </c>
      <c r="B10" s="22">
        <v>15</v>
      </c>
      <c r="C10" s="26"/>
      <c r="D10" s="27"/>
      <c r="E10" s="2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 t="s">
        <v>31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 t="s">
        <v>32</v>
      </c>
      <c r="C12" s="32" t="s">
        <v>13</v>
      </c>
      <c r="D12" s="32" t="s">
        <v>14</v>
      </c>
      <c r="E12" s="32" t="s">
        <v>15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44" t="s">
        <v>16</v>
      </c>
      <c r="B13" s="45"/>
      <c r="C13" s="7" t="s">
        <v>17</v>
      </c>
      <c r="D13" s="33"/>
      <c r="E13" s="3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44" t="s">
        <v>18</v>
      </c>
      <c r="B14" s="45"/>
      <c r="C14" s="7" t="s">
        <v>19</v>
      </c>
      <c r="D14" s="33"/>
      <c r="E14" s="3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6"/>
      <c r="B15" s="39"/>
      <c r="C15" s="7" t="s">
        <v>20</v>
      </c>
      <c r="D15" s="33"/>
      <c r="E15" s="3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44" t="s">
        <v>21</v>
      </c>
      <c r="B16" s="45"/>
      <c r="C16" s="7" t="s">
        <v>22</v>
      </c>
      <c r="D16" s="33"/>
      <c r="E16" s="3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44" t="s">
        <v>23</v>
      </c>
      <c r="B17" s="45"/>
      <c r="C17" s="7" t="s">
        <v>24</v>
      </c>
      <c r="D17" s="33"/>
      <c r="E17" s="3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44" t="s">
        <v>25</v>
      </c>
      <c r="B18" s="45"/>
      <c r="C18" s="7" t="s">
        <v>26</v>
      </c>
      <c r="D18" s="33"/>
      <c r="E18" s="3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"/>
      <c r="B19" s="1"/>
      <c r="C19" s="38"/>
      <c r="D19" s="36" t="s">
        <v>27</v>
      </c>
      <c r="E19" s="3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"/>
      <c r="B27" s="1"/>
      <c r="C27" s="1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x14ac:dyDescent="0.25">
      <c r="A28" s="1"/>
      <c r="B28" s="1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x14ac:dyDescent="0.25">
      <c r="A30" s="1"/>
      <c r="B30" s="3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2">
    <mergeCell ref="A4:A5"/>
    <mergeCell ref="B2:E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zoomScale="85" zoomScaleNormal="85" workbookViewId="0">
      <selection activeCell="J10" sqref="J10"/>
    </sheetView>
  </sheetViews>
  <sheetFormatPr defaultColWidth="14.42578125" defaultRowHeight="15" customHeight="1" x14ac:dyDescent="0.25"/>
  <cols>
    <col min="1" max="1" width="26.85546875" customWidth="1"/>
    <col min="2" max="2" width="27.42578125" bestFit="1" customWidth="1"/>
    <col min="3" max="4" width="23.42578125" customWidth="1"/>
    <col min="5" max="5" width="37.42578125" bestFit="1" customWidth="1"/>
    <col min="6" max="6" width="26.7109375" customWidth="1"/>
    <col min="7" max="26" width="9.140625" customWidth="1"/>
  </cols>
  <sheetData>
    <row r="1" spans="1:26" ht="14.25" customHeight="1" x14ac:dyDescent="0.25">
      <c r="A1" s="8" t="s">
        <v>28</v>
      </c>
      <c r="B1" s="9"/>
      <c r="C1" s="10"/>
      <c r="D1" s="10"/>
      <c r="E1" s="1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5">
      <c r="A2" s="12" t="s">
        <v>0</v>
      </c>
      <c r="B2" s="42" t="s">
        <v>1</v>
      </c>
      <c r="C2" s="42"/>
      <c r="D2" s="42"/>
      <c r="E2" s="4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.25" customHeight="1" x14ac:dyDescent="0.25">
      <c r="A3" s="13"/>
      <c r="B3" s="4" t="s">
        <v>2</v>
      </c>
      <c r="C3" s="4" t="s">
        <v>3</v>
      </c>
      <c r="D3" s="4" t="s">
        <v>4</v>
      </c>
      <c r="E3" s="14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" customHeight="1" x14ac:dyDescent="0.25">
      <c r="A4" s="40" t="s">
        <v>6</v>
      </c>
      <c r="B4" s="4" t="s">
        <v>7</v>
      </c>
      <c r="C4" s="5">
        <v>116</v>
      </c>
      <c r="D4" s="5">
        <v>106</v>
      </c>
      <c r="E4" s="15">
        <v>115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2" customHeight="1" x14ac:dyDescent="0.25">
      <c r="A5" s="41"/>
      <c r="B5" s="4" t="s">
        <v>8</v>
      </c>
      <c r="C5" s="5">
        <v>110</v>
      </c>
      <c r="D5" s="5">
        <v>95</v>
      </c>
      <c r="E5" s="15">
        <v>112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6"/>
      <c r="B6" s="6"/>
      <c r="C6" s="6"/>
      <c r="D6" s="6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29" t="s">
        <v>1</v>
      </c>
      <c r="B7" s="30" t="s">
        <v>29</v>
      </c>
      <c r="C7" s="24"/>
      <c r="D7" s="31" t="s">
        <v>6</v>
      </c>
      <c r="E7" s="29" t="s">
        <v>30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8" t="s">
        <v>3</v>
      </c>
      <c r="B8" s="21">
        <v>20</v>
      </c>
      <c r="C8" s="25"/>
      <c r="D8" s="23" t="s">
        <v>9</v>
      </c>
      <c r="E8" s="19">
        <v>25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8" t="s">
        <v>10</v>
      </c>
      <c r="B9" s="21">
        <v>25</v>
      </c>
      <c r="C9" s="25"/>
      <c r="D9" s="7" t="s">
        <v>11</v>
      </c>
      <c r="E9" s="19">
        <v>50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20" t="s">
        <v>12</v>
      </c>
      <c r="B10" s="22">
        <v>15</v>
      </c>
      <c r="C10" s="26"/>
      <c r="D10" s="27"/>
      <c r="E10" s="2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32" t="s">
        <v>13</v>
      </c>
      <c r="D12" s="32" t="s">
        <v>14</v>
      </c>
      <c r="E12" s="32" t="s">
        <v>15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7" t="s">
        <v>16</v>
      </c>
      <c r="B13" s="34">
        <f>SUM(D13:D15)</f>
        <v>30</v>
      </c>
      <c r="C13" s="7" t="s">
        <v>17</v>
      </c>
      <c r="D13" s="33">
        <v>10</v>
      </c>
      <c r="E13" s="34">
        <f>D13*C4</f>
        <v>1160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7" t="s">
        <v>18</v>
      </c>
      <c r="B14" s="34">
        <f>SUM(D16:D18)</f>
        <v>60</v>
      </c>
      <c r="C14" s="7" t="s">
        <v>19</v>
      </c>
      <c r="D14" s="33">
        <v>10</v>
      </c>
      <c r="E14" s="34">
        <f>D14*D4</f>
        <v>1060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"/>
      <c r="C15" s="7" t="s">
        <v>20</v>
      </c>
      <c r="D15" s="33">
        <v>10</v>
      </c>
      <c r="E15" s="34">
        <f>D15*E4</f>
        <v>1150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7" t="s">
        <v>21</v>
      </c>
      <c r="B16" s="34">
        <f t="shared" ref="B16:B18" si="0">D13+D16</f>
        <v>30</v>
      </c>
      <c r="C16" s="7" t="s">
        <v>22</v>
      </c>
      <c r="D16" s="33">
        <v>20</v>
      </c>
      <c r="E16" s="34">
        <f>D16*C5</f>
        <v>2200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7" t="s">
        <v>23</v>
      </c>
      <c r="B17" s="34">
        <f t="shared" si="0"/>
        <v>30</v>
      </c>
      <c r="C17" s="7" t="s">
        <v>24</v>
      </c>
      <c r="D17" s="33">
        <v>20</v>
      </c>
      <c r="E17" s="34">
        <f>D17*D5</f>
        <v>1900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7" t="s">
        <v>25</v>
      </c>
      <c r="B18" s="34">
        <f t="shared" si="0"/>
        <v>30</v>
      </c>
      <c r="C18" s="37" t="s">
        <v>26</v>
      </c>
      <c r="D18" s="33">
        <v>20</v>
      </c>
      <c r="E18" s="34">
        <f>D18*E5</f>
        <v>2240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38"/>
      <c r="D19" s="36" t="s">
        <v>27</v>
      </c>
      <c r="E19" s="35">
        <f>SUM(E13:E18)</f>
        <v>9710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3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2">
    <mergeCell ref="B2:E2"/>
    <mergeCell ref="A4:A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kureshi sakil</cp:lastModifiedBy>
  <dcterms:created xsi:type="dcterms:W3CDTF">2020-03-20T13:01:58Z</dcterms:created>
  <dcterms:modified xsi:type="dcterms:W3CDTF">2026-07-14T05:29:37Z</dcterms:modified>
</cp:coreProperties>
</file>