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0679fe7c43ffa6e9/Desktop/data for practice/ADA/ADA/"/>
    </mc:Choice>
  </mc:AlternateContent>
  <xr:revisionPtr revIDLastSave="1" documentId="13_ncr:1_{8BA536B3-E22B-46F1-A564-8A5DF5B7C7E3}" xr6:coauthVersionLast="47" xr6:coauthVersionMax="47" xr10:uidLastSave="{AFBEC1FF-E18B-446B-B460-C2862440C3CE}"/>
  <bookViews>
    <workbookView xWindow="-120" yWindow="-120" windowWidth="20730" windowHeight="11160" activeTab="1" xr2:uid="{00000000-000D-0000-FFFF-FFFF00000000}"/>
  </bookViews>
  <sheets>
    <sheet name="Theory" sheetId="3" r:id="rId1"/>
    <sheet name="Problem" sheetId="1" r:id="rId2"/>
    <sheet name="Task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EMSjo6v4ZmEdEoJyPwRsY8GmechqV4LPcsvd8mR1By8="/>
    </ext>
  </extLst>
</workbook>
</file>

<file path=xl/calcChain.xml><?xml version="1.0" encoding="utf-8"?>
<calcChain xmlns="http://schemas.openxmlformats.org/spreadsheetml/2006/main">
  <c r="D27" i="1" l="1"/>
  <c r="D19" i="1"/>
  <c r="D6" i="1"/>
  <c r="E17" i="2"/>
  <c r="D26" i="1"/>
</calcChain>
</file>

<file path=xl/sharedStrings.xml><?xml version="1.0" encoding="utf-8"?>
<sst xmlns="http://schemas.openxmlformats.org/spreadsheetml/2006/main" count="54" uniqueCount="51">
  <si>
    <t>Q1</t>
  </si>
  <si>
    <t>Your target is to achieve sales of 1000000. Determine the units to be sold to achieve your target.</t>
  </si>
  <si>
    <t>Product Price</t>
  </si>
  <si>
    <t>Units to sell</t>
  </si>
  <si>
    <t>Formula to use</t>
  </si>
  <si>
    <t>Total sales</t>
  </si>
  <si>
    <t>Sales = price*No. of units</t>
  </si>
  <si>
    <t>Target sales</t>
  </si>
  <si>
    <t>A student has taken 4 exams, and their average score is currently 76 and have one more exam left and want to achieve a final average of 80.</t>
  </si>
  <si>
    <t>Exam 1 Score</t>
  </si>
  <si>
    <t>Exam 2 Score</t>
  </si>
  <si>
    <t>Exam 3 Score</t>
  </si>
  <si>
    <t>Exam 4 Score</t>
  </si>
  <si>
    <t xml:space="preserve">Exam 5 Score </t>
  </si>
  <si>
    <t>Current Average</t>
  </si>
  <si>
    <t>Final Target Average</t>
  </si>
  <si>
    <t>Formula for Final Average</t>
  </si>
  <si>
    <t>Find the loan amount to get the desired monthly payment for a given interest rate</t>
  </si>
  <si>
    <t>Interest Rate</t>
  </si>
  <si>
    <t>PMT(int rate/12,nper,-pv)</t>
  </si>
  <si>
    <t>Loan Amount</t>
  </si>
  <si>
    <t>PMT()</t>
  </si>
  <si>
    <t>to calculate the monthly payment (EMI)</t>
  </si>
  <si>
    <t>Loan Term</t>
  </si>
  <si>
    <t>months</t>
  </si>
  <si>
    <t>Rate</t>
  </si>
  <si>
    <t>Interest rate per period (monthly rate for loans)</t>
  </si>
  <si>
    <t>EMI</t>
  </si>
  <si>
    <t>nper</t>
  </si>
  <si>
    <t>Number of total periods (loan tenure in months)</t>
  </si>
  <si>
    <t>Target EMI</t>
  </si>
  <si>
    <t>pv</t>
  </si>
  <si>
    <t>Present Value (Loan amount)</t>
  </si>
  <si>
    <t>Finding the Required Number of Employees to Complete a Project on Time</t>
  </si>
  <si>
    <t>Current Employees</t>
  </si>
  <si>
    <t>Estimated Days to Complete (Current Team)</t>
  </si>
  <si>
    <t>Target time to complete</t>
  </si>
  <si>
    <t xml:space="preserve">Additional Employees Needed </t>
  </si>
  <si>
    <t>Formula for Total Employees</t>
  </si>
  <si>
    <t>Formula for New Completion Time</t>
  </si>
  <si>
    <t>Finding the Required Body Weight to Reach a Target BMI (22)</t>
  </si>
  <si>
    <t>Height (m)</t>
  </si>
  <si>
    <t>Weight (kg)</t>
  </si>
  <si>
    <t>Target BMI</t>
  </si>
  <si>
    <t>BMI Formula</t>
  </si>
  <si>
    <t>BMI=weight/(height^2)</t>
  </si>
  <si>
    <t>Q2</t>
  </si>
  <si>
    <t>Q3</t>
  </si>
  <si>
    <t>Time=estimated time*(current emp/total emp)</t>
  </si>
  <si>
    <t>TASK 1</t>
  </si>
  <si>
    <t>TASK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</si>
</sst>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color rgb="FF444444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mo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</fills>
  <borders count="2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5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11" xfId="0" applyFont="1" applyBorder="1"/>
    <xf numFmtId="0" fontId="5" fillId="0" borderId="8" xfId="0" applyFont="1" applyBorder="1"/>
    <xf numFmtId="0" fontId="5" fillId="0" borderId="9" xfId="0" applyFont="1" applyBorder="1"/>
    <xf numFmtId="0" fontId="1" fillId="0" borderId="10" xfId="0" applyFont="1" applyBorder="1"/>
    <xf numFmtId="0" fontId="1" fillId="0" borderId="15" xfId="0" applyFont="1" applyBorder="1" applyAlignment="1">
      <alignment vertical="center" wrapText="1"/>
    </xf>
    <xf numFmtId="0" fontId="1" fillId="0" borderId="15" xfId="0" applyFont="1" applyBorder="1"/>
    <xf numFmtId="0" fontId="0" fillId="0" borderId="10" xfId="0" applyBorder="1"/>
    <xf numFmtId="0" fontId="1" fillId="0" borderId="20" xfId="0" applyFont="1" applyBorder="1"/>
    <xf numFmtId="1" fontId="7" fillId="0" borderId="15" xfId="0" applyNumberFormat="1" applyFont="1" applyBorder="1" applyAlignment="1">
      <alignment vertical="center" wrapText="1"/>
    </xf>
    <xf numFmtId="0" fontId="1" fillId="0" borderId="21" xfId="0" applyFont="1" applyBorder="1"/>
    <xf numFmtId="0" fontId="0" fillId="0" borderId="15" xfId="0" applyBorder="1"/>
    <xf numFmtId="0" fontId="1" fillId="0" borderId="14" xfId="0" applyFont="1" applyBorder="1" applyAlignment="1">
      <alignment vertical="center" wrapText="1"/>
    </xf>
    <xf numFmtId="1" fontId="7" fillId="0" borderId="14" xfId="0" applyNumberFormat="1" applyFont="1" applyBorder="1" applyAlignment="1">
      <alignment vertical="center" wrapText="1"/>
    </xf>
    <xf numFmtId="1" fontId="7" fillId="2" borderId="14" xfId="0" applyNumberFormat="1" applyFont="1" applyFill="1" applyBorder="1" applyAlignment="1">
      <alignment vertical="center" wrapText="1"/>
    </xf>
    <xf numFmtId="1" fontId="7" fillId="3" borderId="14" xfId="0" applyNumberFormat="1" applyFont="1" applyFill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1" fontId="2" fillId="2" borderId="6" xfId="0" applyNumberFormat="1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1" fontId="2" fillId="2" borderId="10" xfId="0" applyNumberFormat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1" fontId="1" fillId="2" borderId="0" xfId="0" applyNumberFormat="1" applyFont="1" applyFill="1" applyAlignment="1">
      <alignment horizontal="left" vertical="center" wrapText="1"/>
    </xf>
    <xf numFmtId="1" fontId="1" fillId="0" borderId="0" xfId="0" applyNumberFormat="1" applyFont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1" fontId="1" fillId="3" borderId="8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11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 wrapText="1"/>
    </xf>
    <xf numFmtId="9" fontId="1" fillId="0" borderId="0" xfId="0" applyNumberFormat="1" applyFont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2" fontId="7" fillId="0" borderId="14" xfId="0" applyNumberFormat="1" applyFont="1" applyBorder="1" applyAlignment="1">
      <alignment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6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1" fillId="0" borderId="16" xfId="0" applyFont="1" applyBorder="1" applyAlignment="1">
      <alignment horizontal="center"/>
    </xf>
    <xf numFmtId="0" fontId="3" fillId="0" borderId="12" xfId="0" applyFont="1" applyBorder="1"/>
    <xf numFmtId="0" fontId="3" fillId="0" borderId="13" xfId="0" applyFont="1" applyBorder="1"/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8" fontId="1" fillId="3" borderId="6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273050</xdr:colOff>
      <xdr:row>0</xdr:row>
      <xdr:rowOff>88900</xdr:rowOff>
    </xdr:from>
    <xdr:ext cx="7461250" cy="13843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85084AAB-A847-4D4A-A733-9F39758BFE59}"/>
            </a:ext>
          </a:extLst>
        </xdr:cNvPr>
        <xdr:cNvSpPr txBox="1"/>
      </xdr:nvSpPr>
      <xdr:spPr>
        <a:xfrm>
          <a:off x="273050" y="88900"/>
          <a:ext cx="7461250" cy="138430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Goal Seek Analysis </a:t>
          </a: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is a powerful what-if analysis tool in Excel that helps users determine the necessary input value to achieve a desired output. It is particularly useful when working with formulas where the output depends on one variable.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Instead of manually adjusting inputs to reach a target result, Goal Seek automates this process by iterating through possible values until it finds the correct input that produces the desired output.</a:t>
          </a:r>
          <a:endParaRPr sz="1100" b="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99E6A-5DEC-4980-87E7-B0D1A1BD7E81}">
  <dimension ref="A1"/>
  <sheetViews>
    <sheetView workbookViewId="0">
      <selection activeCell="H13" sqref="H1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topLeftCell="A15" zoomScaleNormal="100" workbookViewId="0">
      <selection activeCell="D27" sqref="D27"/>
    </sheetView>
  </sheetViews>
  <sheetFormatPr defaultColWidth="14.42578125" defaultRowHeight="15" x14ac:dyDescent="0.25"/>
  <cols>
    <col min="1" max="1" width="8.7109375" style="22" customWidth="1"/>
    <col min="2" max="2" width="3.42578125" style="22" bestFit="1" customWidth="1"/>
    <col min="3" max="3" width="22.7109375" style="22" bestFit="1" customWidth="1"/>
    <col min="4" max="4" width="13.42578125" style="22" bestFit="1" customWidth="1"/>
    <col min="5" max="5" width="7.28515625" style="22" bestFit="1" customWidth="1"/>
    <col min="6" max="6" width="8.7109375" style="22" customWidth="1"/>
    <col min="7" max="7" width="5.85546875" style="22" bestFit="1" customWidth="1"/>
    <col min="8" max="8" width="42.42578125" style="22" bestFit="1" customWidth="1"/>
    <col min="9" max="11" width="8.7109375" style="22" customWidth="1"/>
    <col min="12" max="12" width="13.28515625" style="22" customWidth="1"/>
    <col min="13" max="26" width="8.7109375" style="22" customWidth="1"/>
    <col min="27" max="16384" width="14.42578125" style="22"/>
  </cols>
  <sheetData>
    <row r="1" spans="1:26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x14ac:dyDescent="0.25">
      <c r="A2" s="21"/>
      <c r="B2" s="23" t="s">
        <v>0</v>
      </c>
      <c r="C2" s="45" t="s">
        <v>1</v>
      </c>
      <c r="D2" s="45"/>
      <c r="E2" s="45"/>
      <c r="F2" s="45"/>
      <c r="G2" s="45"/>
      <c r="H2" s="45"/>
      <c r="I2" s="45"/>
      <c r="J2" s="45"/>
      <c r="K2" s="45"/>
      <c r="L2" s="46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x14ac:dyDescent="0.25">
      <c r="A3" s="21"/>
      <c r="B3" s="24"/>
      <c r="C3" s="21"/>
      <c r="D3" s="21"/>
      <c r="E3" s="21"/>
      <c r="F3" s="21"/>
      <c r="G3" s="21"/>
      <c r="H3" s="21"/>
      <c r="I3" s="21"/>
      <c r="J3" s="21"/>
      <c r="K3" s="21"/>
      <c r="L3" s="25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x14ac:dyDescent="0.25">
      <c r="A4" s="21"/>
      <c r="B4" s="24"/>
      <c r="C4" s="21" t="s">
        <v>2</v>
      </c>
      <c r="D4" s="21">
        <v>5800</v>
      </c>
      <c r="E4" s="21"/>
      <c r="F4" s="21"/>
      <c r="G4" s="21"/>
      <c r="H4" s="21"/>
      <c r="I4" s="21"/>
      <c r="J4" s="21"/>
      <c r="K4" s="21"/>
      <c r="L4" s="25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x14ac:dyDescent="0.25">
      <c r="A5" s="21"/>
      <c r="B5" s="24"/>
      <c r="C5" s="21" t="s">
        <v>3</v>
      </c>
      <c r="D5" s="26">
        <v>172.41379310344828</v>
      </c>
      <c r="E5" s="21"/>
      <c r="F5" s="21"/>
      <c r="G5" s="50" t="s">
        <v>4</v>
      </c>
      <c r="H5" s="45"/>
      <c r="I5" s="45"/>
      <c r="J5" s="45"/>
      <c r="K5" s="45"/>
      <c r="L5" s="46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x14ac:dyDescent="0.25">
      <c r="A6" s="21"/>
      <c r="B6" s="24"/>
      <c r="C6" s="21" t="s">
        <v>5</v>
      </c>
      <c r="D6" s="27">
        <f>D5*D4</f>
        <v>1000000</v>
      </c>
      <c r="E6" s="21"/>
      <c r="F6" s="21"/>
      <c r="G6" s="54" t="s">
        <v>6</v>
      </c>
      <c r="H6" s="57"/>
      <c r="I6" s="57"/>
      <c r="J6" s="57"/>
      <c r="K6" s="57"/>
      <c r="L6" s="58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x14ac:dyDescent="0.25">
      <c r="A7" s="21"/>
      <c r="B7" s="28"/>
      <c r="C7" s="29" t="s">
        <v>7</v>
      </c>
      <c r="D7" s="29">
        <v>1000000</v>
      </c>
      <c r="E7" s="29"/>
      <c r="F7" s="29"/>
      <c r="G7" s="29"/>
      <c r="H7" s="29"/>
      <c r="I7" s="29"/>
      <c r="J7" s="29"/>
      <c r="K7" s="29"/>
      <c r="L7" s="30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x14ac:dyDescent="0.25">
      <c r="A8" s="2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x14ac:dyDescent="0.25">
      <c r="A10" s="21"/>
      <c r="B10" s="23" t="s">
        <v>46</v>
      </c>
      <c r="C10" s="45" t="s">
        <v>8</v>
      </c>
      <c r="D10" s="45"/>
      <c r="E10" s="45"/>
      <c r="F10" s="45"/>
      <c r="G10" s="45"/>
      <c r="H10" s="45"/>
      <c r="I10" s="45"/>
      <c r="J10" s="45"/>
      <c r="K10" s="45"/>
      <c r="L10" s="46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x14ac:dyDescent="0.25">
      <c r="A11" s="21"/>
      <c r="B11" s="24"/>
      <c r="C11" s="21"/>
      <c r="D11" s="21"/>
      <c r="E11" s="21"/>
      <c r="F11" s="21"/>
      <c r="G11" s="21"/>
      <c r="H11" s="21"/>
      <c r="I11" s="21"/>
      <c r="J11" s="21"/>
      <c r="K11" s="21"/>
      <c r="L11" s="25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x14ac:dyDescent="0.25">
      <c r="A12" s="21"/>
      <c r="B12" s="24"/>
      <c r="C12" s="21" t="s">
        <v>9</v>
      </c>
      <c r="D12" s="21">
        <v>88</v>
      </c>
      <c r="E12" s="21"/>
      <c r="F12" s="21"/>
      <c r="G12" s="21"/>
      <c r="H12" s="21"/>
      <c r="I12" s="21"/>
      <c r="J12" s="21"/>
      <c r="K12" s="21"/>
      <c r="L12" s="25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x14ac:dyDescent="0.25">
      <c r="A13" s="21"/>
      <c r="B13" s="24"/>
      <c r="C13" s="21" t="s">
        <v>10</v>
      </c>
      <c r="D13" s="32">
        <v>62</v>
      </c>
      <c r="E13" s="21"/>
      <c r="F13" s="21"/>
      <c r="G13" s="21"/>
      <c r="H13" s="21"/>
      <c r="I13" s="21"/>
      <c r="J13" s="21"/>
      <c r="K13" s="21"/>
      <c r="L13" s="25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x14ac:dyDescent="0.25">
      <c r="A14" s="21"/>
      <c r="B14" s="24"/>
      <c r="C14" s="21" t="s">
        <v>11</v>
      </c>
      <c r="D14" s="33">
        <v>71</v>
      </c>
      <c r="E14" s="21"/>
      <c r="F14" s="21"/>
      <c r="G14" s="21"/>
      <c r="H14" s="21"/>
      <c r="I14" s="21"/>
      <c r="J14" s="21"/>
      <c r="K14" s="21"/>
      <c r="L14" s="25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x14ac:dyDescent="0.25">
      <c r="A15" s="21"/>
      <c r="B15" s="24"/>
      <c r="C15" s="21" t="s">
        <v>12</v>
      </c>
      <c r="D15" s="21">
        <v>81</v>
      </c>
      <c r="E15" s="21"/>
      <c r="F15" s="21"/>
      <c r="G15" s="21"/>
      <c r="H15" s="21"/>
      <c r="I15" s="21"/>
      <c r="J15" s="21"/>
      <c r="K15" s="21"/>
      <c r="L15" s="25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x14ac:dyDescent="0.25">
      <c r="A16" s="21"/>
      <c r="B16" s="24"/>
      <c r="C16" s="34" t="s">
        <v>13</v>
      </c>
      <c r="D16" s="35">
        <v>97.999999999999972</v>
      </c>
      <c r="E16" s="21"/>
      <c r="F16" s="21"/>
      <c r="G16" s="21"/>
      <c r="H16" s="21"/>
      <c r="I16" s="21"/>
      <c r="J16" s="21"/>
      <c r="K16" s="21"/>
      <c r="L16" s="25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x14ac:dyDescent="0.25">
      <c r="A17" s="21"/>
      <c r="B17" s="24"/>
      <c r="C17" s="34" t="s">
        <v>14</v>
      </c>
      <c r="D17" s="36">
        <v>80</v>
      </c>
      <c r="E17" s="21"/>
      <c r="F17" s="21"/>
      <c r="G17" s="21"/>
      <c r="H17" s="21"/>
      <c r="I17" s="21"/>
      <c r="J17" s="21"/>
      <c r="K17" s="21"/>
      <c r="L17" s="25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x14ac:dyDescent="0.25">
      <c r="A18" s="21"/>
      <c r="B18" s="24"/>
      <c r="C18" s="34" t="s">
        <v>15</v>
      </c>
      <c r="D18" s="36">
        <v>80</v>
      </c>
      <c r="E18" s="21"/>
      <c r="F18" s="21"/>
      <c r="G18" s="21"/>
      <c r="H18" s="21"/>
      <c r="I18" s="21"/>
      <c r="J18" s="21"/>
      <c r="K18" s="21"/>
      <c r="L18" s="25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30" x14ac:dyDescent="0.25">
      <c r="A19" s="21"/>
      <c r="B19" s="28"/>
      <c r="C19" s="37" t="s">
        <v>16</v>
      </c>
      <c r="D19" s="38">
        <f>AVERAGE(D12:D16)</f>
        <v>80</v>
      </c>
      <c r="E19" s="29"/>
      <c r="F19" s="29"/>
      <c r="G19" s="29"/>
      <c r="H19" s="29"/>
      <c r="I19" s="29"/>
      <c r="J19" s="29"/>
      <c r="K19" s="29"/>
      <c r="L19" s="30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x14ac:dyDescent="0.25">
      <c r="A20" s="21"/>
      <c r="B20" s="21"/>
      <c r="C20" s="39"/>
      <c r="D20" s="34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x14ac:dyDescent="0.25">
      <c r="A21" s="21"/>
      <c r="B21" s="21"/>
      <c r="C21" s="39"/>
      <c r="D21" s="34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x14ac:dyDescent="0.25">
      <c r="A22" s="21"/>
      <c r="B22" s="40" t="s">
        <v>47</v>
      </c>
      <c r="C22" s="47" t="s">
        <v>17</v>
      </c>
      <c r="D22" s="48"/>
      <c r="E22" s="48"/>
      <c r="F22" s="48"/>
      <c r="G22" s="48"/>
      <c r="H22" s="48"/>
      <c r="I22" s="48"/>
      <c r="J22" s="48"/>
      <c r="K22" s="48"/>
      <c r="L22" s="49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x14ac:dyDescent="0.25">
      <c r="A23" s="21"/>
      <c r="B23" s="24"/>
      <c r="C23" s="41"/>
      <c r="D23" s="31"/>
      <c r="E23" s="31"/>
      <c r="F23" s="31"/>
      <c r="G23" s="51" t="s">
        <v>4</v>
      </c>
      <c r="H23" s="52"/>
      <c r="I23" s="52"/>
      <c r="J23" s="52"/>
      <c r="K23" s="52"/>
      <c r="L23" s="53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x14ac:dyDescent="0.25">
      <c r="A24" s="21"/>
      <c r="B24" s="24"/>
      <c r="C24" s="34" t="s">
        <v>18</v>
      </c>
      <c r="D24" s="21">
        <v>0.09</v>
      </c>
      <c r="E24" s="42">
        <v>0.09</v>
      </c>
      <c r="F24" s="21"/>
      <c r="G24" s="50" t="s">
        <v>19</v>
      </c>
      <c r="H24" s="45"/>
      <c r="I24" s="45"/>
      <c r="J24" s="45"/>
      <c r="K24" s="45"/>
      <c r="L24" s="46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x14ac:dyDescent="0.25">
      <c r="A25" s="21"/>
      <c r="B25" s="24"/>
      <c r="C25" s="21" t="s">
        <v>20</v>
      </c>
      <c r="D25" s="26">
        <v>628936.10502564849</v>
      </c>
      <c r="E25" s="21"/>
      <c r="F25" s="21"/>
      <c r="G25" s="40" t="s">
        <v>21</v>
      </c>
      <c r="H25" s="54" t="s">
        <v>22</v>
      </c>
      <c r="I25" s="57"/>
      <c r="J25" s="57"/>
      <c r="K25" s="57"/>
      <c r="L25" s="58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x14ac:dyDescent="0.25">
      <c r="A26" s="21"/>
      <c r="B26" s="24"/>
      <c r="C26" s="21" t="s">
        <v>23</v>
      </c>
      <c r="D26" s="21">
        <f>3*12</f>
        <v>36</v>
      </c>
      <c r="E26" s="21" t="s">
        <v>24</v>
      </c>
      <c r="F26" s="21"/>
      <c r="G26" s="43" t="s">
        <v>25</v>
      </c>
      <c r="H26" s="54" t="s">
        <v>26</v>
      </c>
      <c r="I26" s="57"/>
      <c r="J26" s="57"/>
      <c r="K26" s="57"/>
      <c r="L26" s="58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x14ac:dyDescent="0.25">
      <c r="A27" s="21"/>
      <c r="B27" s="24"/>
      <c r="C27" s="21" t="s">
        <v>27</v>
      </c>
      <c r="D27" s="72">
        <f>PMT(D24/12,D26,-D25)</f>
        <v>19999.999999999996</v>
      </c>
      <c r="E27" s="21"/>
      <c r="F27" s="21"/>
      <c r="G27" s="43" t="s">
        <v>28</v>
      </c>
      <c r="H27" s="54" t="s">
        <v>29</v>
      </c>
      <c r="I27" s="57"/>
      <c r="J27" s="57"/>
      <c r="K27" s="57"/>
      <c r="L27" s="58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x14ac:dyDescent="0.25">
      <c r="A28" s="21"/>
      <c r="B28" s="24"/>
      <c r="C28" s="21" t="s">
        <v>30</v>
      </c>
      <c r="D28" s="21">
        <v>20000</v>
      </c>
      <c r="E28" s="21"/>
      <c r="F28" s="21"/>
      <c r="G28" s="43" t="s">
        <v>31</v>
      </c>
      <c r="H28" s="54" t="s">
        <v>32</v>
      </c>
      <c r="I28" s="55"/>
      <c r="J28" s="55"/>
      <c r="K28" s="55"/>
      <c r="L28" s="56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x14ac:dyDescent="0.25">
      <c r="A29" s="21"/>
      <c r="B29" s="24"/>
      <c r="C29" s="21"/>
      <c r="D29" s="21"/>
      <c r="E29" s="21"/>
      <c r="F29" s="21"/>
      <c r="G29" s="21"/>
      <c r="H29" s="21"/>
      <c r="I29" s="21"/>
      <c r="J29" s="21"/>
      <c r="K29" s="21"/>
      <c r="L29" s="25"/>
      <c r="M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x14ac:dyDescent="0.25">
      <c r="A30" s="21"/>
      <c r="B30" s="28"/>
      <c r="C30" s="29"/>
      <c r="D30" s="29"/>
      <c r="E30" s="29"/>
      <c r="F30" s="29"/>
      <c r="G30" s="29"/>
      <c r="H30" s="29"/>
      <c r="I30" s="29"/>
      <c r="J30" s="29"/>
      <c r="K30" s="29"/>
      <c r="L30" s="30"/>
      <c r="M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x14ac:dyDescent="0.25">
      <c r="A31" s="21"/>
      <c r="B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x14ac:dyDescent="0.25">
      <c r="A32" s="21"/>
      <c r="B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x14ac:dyDescent="0.25">
      <c r="A33" s="21"/>
      <c r="M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x14ac:dyDescent="0.25">
      <c r="A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x14ac:dyDescent="0.25">
      <c r="A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x14ac:dyDescent="0.25">
      <c r="A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x14ac:dyDescent="0.25">
      <c r="A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x14ac:dyDescent="0.25">
      <c r="A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x14ac:dyDescent="0.25">
      <c r="A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x14ac:dyDescent="0.25">
      <c r="A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x14ac:dyDescent="0.25">
      <c r="A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x14ac:dyDescent="0.25">
      <c r="A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x14ac:dyDescent="0.25">
      <c r="A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x14ac:dyDescent="0.25">
      <c r="A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x14ac:dyDescent="0.25">
      <c r="A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x14ac:dyDescent="0.25">
      <c r="A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x14ac:dyDescent="0.25">
      <c r="A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x14ac:dyDescent="0.25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x14ac:dyDescent="0.25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x14ac:dyDescent="0.25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x14ac:dyDescent="0.2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x14ac:dyDescent="0.2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x14ac:dyDescent="0.25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x14ac:dyDescent="0.25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x14ac:dyDescent="0.25">
      <c r="A58" s="21"/>
      <c r="B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x14ac:dyDescent="0.2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x14ac:dyDescent="0.25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x14ac:dyDescent="0.25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x14ac:dyDescent="0.25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x14ac:dyDescent="0.25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x14ac:dyDescent="0.25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x14ac:dyDescent="0.25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x14ac:dyDescent="0.25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x14ac:dyDescent="0.25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x14ac:dyDescent="0.25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x14ac:dyDescent="0.25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x14ac:dyDescent="0.25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x14ac:dyDescent="0.25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x14ac:dyDescent="0.25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x14ac:dyDescent="0.2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x14ac:dyDescent="0.25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x14ac:dyDescent="0.25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x14ac:dyDescent="0.25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x14ac:dyDescent="0.25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x14ac:dyDescent="0.25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x14ac:dyDescent="0.25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x14ac:dyDescent="0.25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x14ac:dyDescent="0.25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x14ac:dyDescent="0.25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x14ac:dyDescent="0.2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x14ac:dyDescent="0.25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x14ac:dyDescent="0.25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x14ac:dyDescent="0.25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x14ac:dyDescent="0.25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x14ac:dyDescent="0.25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x14ac:dyDescent="0.25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x14ac:dyDescent="0.25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x14ac:dyDescent="0.25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x14ac:dyDescent="0.25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x14ac:dyDescent="0.2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x14ac:dyDescent="0.25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x14ac:dyDescent="0.25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x14ac:dyDescent="0.25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x14ac:dyDescent="0.25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x14ac:dyDescent="0.25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x14ac:dyDescent="0.25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x14ac:dyDescent="0.25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x14ac:dyDescent="0.25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x14ac:dyDescent="0.25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x14ac:dyDescent="0.2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x14ac:dyDescent="0.25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x14ac:dyDescent="0.25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x14ac:dyDescent="0.25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x14ac:dyDescent="0.25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x14ac:dyDescent="0.2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x14ac:dyDescent="0.2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x14ac:dyDescent="0.2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x14ac:dyDescent="0.2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x14ac:dyDescent="0.2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x14ac:dyDescent="0.2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x14ac:dyDescent="0.25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x14ac:dyDescent="0.25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x14ac:dyDescent="0.25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x14ac:dyDescent="0.25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x14ac:dyDescent="0.25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x14ac:dyDescent="0.25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x14ac:dyDescent="0.25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x14ac:dyDescent="0.2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x14ac:dyDescent="0.25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x14ac:dyDescent="0.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x14ac:dyDescent="0.25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x14ac:dyDescent="0.25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x14ac:dyDescent="0.25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x14ac:dyDescent="0.25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x14ac:dyDescent="0.25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x14ac:dyDescent="0.25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x14ac:dyDescent="0.25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x14ac:dyDescent="0.2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x14ac:dyDescent="0.2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x14ac:dyDescent="0.2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x14ac:dyDescent="0.25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x14ac:dyDescent="0.25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x14ac:dyDescent="0.25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x14ac:dyDescent="0.25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x14ac:dyDescent="0.25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x14ac:dyDescent="0.2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x14ac:dyDescent="0.25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x14ac:dyDescent="0.2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x14ac:dyDescent="0.2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x14ac:dyDescent="0.2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x14ac:dyDescent="0.25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x14ac:dyDescent="0.25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x14ac:dyDescent="0.2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x14ac:dyDescent="0.2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x14ac:dyDescent="0.25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x14ac:dyDescent="0.2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x14ac:dyDescent="0.2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x14ac:dyDescent="0.2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x14ac:dyDescent="0.25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x14ac:dyDescent="0.2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x14ac:dyDescent="0.2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x14ac:dyDescent="0.2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x14ac:dyDescent="0.2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x14ac:dyDescent="0.2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x14ac:dyDescent="0.2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x14ac:dyDescent="0.2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x14ac:dyDescent="0.2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x14ac:dyDescent="0.2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x14ac:dyDescent="0.2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x14ac:dyDescent="0.2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x14ac:dyDescent="0.25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x14ac:dyDescent="0.25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x14ac:dyDescent="0.2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x14ac:dyDescent="0.2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x14ac:dyDescent="0.25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x14ac:dyDescent="0.2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x14ac:dyDescent="0.25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x14ac:dyDescent="0.25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x14ac:dyDescent="0.25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x14ac:dyDescent="0.2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x14ac:dyDescent="0.2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x14ac:dyDescent="0.2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x14ac:dyDescent="0.2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x14ac:dyDescent="0.2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x14ac:dyDescent="0.2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x14ac:dyDescent="0.2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x14ac:dyDescent="0.2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x14ac:dyDescent="0.2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x14ac:dyDescent="0.2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x14ac:dyDescent="0.2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x14ac:dyDescent="0.2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x14ac:dyDescent="0.2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x14ac:dyDescent="0.2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x14ac:dyDescent="0.2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x14ac:dyDescent="0.2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x14ac:dyDescent="0.2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x14ac:dyDescent="0.2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x14ac:dyDescent="0.2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x14ac:dyDescent="0.2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x14ac:dyDescent="0.2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x14ac:dyDescent="0.2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x14ac:dyDescent="0.2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x14ac:dyDescent="0.2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x14ac:dyDescent="0.2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x14ac:dyDescent="0.2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x14ac:dyDescent="0.2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x14ac:dyDescent="0.2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x14ac:dyDescent="0.2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x14ac:dyDescent="0.2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x14ac:dyDescent="0.2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x14ac:dyDescent="0.2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x14ac:dyDescent="0.2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x14ac:dyDescent="0.2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x14ac:dyDescent="0.2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x14ac:dyDescent="0.2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x14ac:dyDescent="0.2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x14ac:dyDescent="0.2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x14ac:dyDescent="0.2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x14ac:dyDescent="0.2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x14ac:dyDescent="0.2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x14ac:dyDescent="0.2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x14ac:dyDescent="0.2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x14ac:dyDescent="0.2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x14ac:dyDescent="0.2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x14ac:dyDescent="0.2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x14ac:dyDescent="0.2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x14ac:dyDescent="0.2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x14ac:dyDescent="0.2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x14ac:dyDescent="0.2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x14ac:dyDescent="0.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x14ac:dyDescent="0.2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x14ac:dyDescent="0.2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x14ac:dyDescent="0.2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x14ac:dyDescent="0.2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x14ac:dyDescent="0.2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x14ac:dyDescent="0.2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x14ac:dyDescent="0.2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x14ac:dyDescent="0.2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x14ac:dyDescent="0.2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x14ac:dyDescent="0.2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x14ac:dyDescent="0.2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x14ac:dyDescent="0.2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x14ac:dyDescent="0.2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x14ac:dyDescent="0.2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x14ac:dyDescent="0.2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x14ac:dyDescent="0.2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x14ac:dyDescent="0.2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x14ac:dyDescent="0.2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x14ac:dyDescent="0.2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x14ac:dyDescent="0.2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x14ac:dyDescent="0.2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x14ac:dyDescent="0.2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x14ac:dyDescent="0.2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x14ac:dyDescent="0.2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x14ac:dyDescent="0.2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x14ac:dyDescent="0.2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x14ac:dyDescent="0.2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x14ac:dyDescent="0.2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x14ac:dyDescent="0.2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x14ac:dyDescent="0.2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x14ac:dyDescent="0.2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x14ac:dyDescent="0.2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x14ac:dyDescent="0.2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x14ac:dyDescent="0.2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x14ac:dyDescent="0.2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x14ac:dyDescent="0.2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x14ac:dyDescent="0.2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x14ac:dyDescent="0.2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x14ac:dyDescent="0.2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x14ac:dyDescent="0.2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x14ac:dyDescent="0.2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x14ac:dyDescent="0.2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x14ac:dyDescent="0.2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x14ac:dyDescent="0.2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x14ac:dyDescent="0.2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x14ac:dyDescent="0.2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x14ac:dyDescent="0.2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x14ac:dyDescent="0.2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x14ac:dyDescent="0.2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x14ac:dyDescent="0.2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x14ac:dyDescent="0.2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x14ac:dyDescent="0.2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x14ac:dyDescent="0.2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x14ac:dyDescent="0.2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x14ac:dyDescent="0.2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x14ac:dyDescent="0.2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x14ac:dyDescent="0.2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x14ac:dyDescent="0.2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x14ac:dyDescent="0.2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x14ac:dyDescent="0.2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x14ac:dyDescent="0.2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x14ac:dyDescent="0.2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x14ac:dyDescent="0.2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x14ac:dyDescent="0.2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x14ac:dyDescent="0.2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x14ac:dyDescent="0.2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x14ac:dyDescent="0.2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x14ac:dyDescent="0.2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x14ac:dyDescent="0.2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x14ac:dyDescent="0.2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x14ac:dyDescent="0.2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x14ac:dyDescent="0.2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x14ac:dyDescent="0.2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x14ac:dyDescent="0.2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x14ac:dyDescent="0.2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x14ac:dyDescent="0.2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x14ac:dyDescent="0.2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x14ac:dyDescent="0.2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x14ac:dyDescent="0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x14ac:dyDescent="0.2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x14ac:dyDescent="0.2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x14ac:dyDescent="0.2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x14ac:dyDescent="0.2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x14ac:dyDescent="0.2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x14ac:dyDescent="0.2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x14ac:dyDescent="0.2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x14ac:dyDescent="0.2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x14ac:dyDescent="0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x14ac:dyDescent="0.2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x14ac:dyDescent="0.2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x14ac:dyDescent="0.2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x14ac:dyDescent="0.2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x14ac:dyDescent="0.2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x14ac:dyDescent="0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x14ac:dyDescent="0.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x14ac:dyDescent="0.2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x14ac:dyDescent="0.2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x14ac:dyDescent="0.2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x14ac:dyDescent="0.2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x14ac:dyDescent="0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x14ac:dyDescent="0.2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x14ac:dyDescent="0.2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x14ac:dyDescent="0.2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x14ac:dyDescent="0.2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x14ac:dyDescent="0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x14ac:dyDescent="0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x14ac:dyDescent="0.2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x14ac:dyDescent="0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x14ac:dyDescent="0.2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x14ac:dyDescent="0.2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x14ac:dyDescent="0.2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x14ac:dyDescent="0.2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x14ac:dyDescent="0.2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x14ac:dyDescent="0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x14ac:dyDescent="0.2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x14ac:dyDescent="0.2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x14ac:dyDescent="0.2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x14ac:dyDescent="0.2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x14ac:dyDescent="0.2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x14ac:dyDescent="0.2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x14ac:dyDescent="0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x14ac:dyDescent="0.2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x14ac:dyDescent="0.2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x14ac:dyDescent="0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x14ac:dyDescent="0.2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x14ac:dyDescent="0.2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x14ac:dyDescent="0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x14ac:dyDescent="0.2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x14ac:dyDescent="0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x14ac:dyDescent="0.2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x14ac:dyDescent="0.2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x14ac:dyDescent="0.2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x14ac:dyDescent="0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x14ac:dyDescent="0.2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x14ac:dyDescent="0.2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x14ac:dyDescent="0.2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x14ac:dyDescent="0.2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x14ac:dyDescent="0.2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x14ac:dyDescent="0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x14ac:dyDescent="0.2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x14ac:dyDescent="0.2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x14ac:dyDescent="0.2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x14ac:dyDescent="0.2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x14ac:dyDescent="0.2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x14ac:dyDescent="0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x14ac:dyDescent="0.2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x14ac:dyDescent="0.2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x14ac:dyDescent="0.2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x14ac:dyDescent="0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x14ac:dyDescent="0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x14ac:dyDescent="0.2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x14ac:dyDescent="0.2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x14ac:dyDescent="0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x14ac:dyDescent="0.2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x14ac:dyDescent="0.2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x14ac:dyDescent="0.2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x14ac:dyDescent="0.2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x14ac:dyDescent="0.2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x14ac:dyDescent="0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x14ac:dyDescent="0.2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x14ac:dyDescent="0.2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x14ac:dyDescent="0.2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x14ac:dyDescent="0.2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x14ac:dyDescent="0.2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x14ac:dyDescent="0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x14ac:dyDescent="0.2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x14ac:dyDescent="0.2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x14ac:dyDescent="0.2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x14ac:dyDescent="0.2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x14ac:dyDescent="0.2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x14ac:dyDescent="0.2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x14ac:dyDescent="0.2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x14ac:dyDescent="0.2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x14ac:dyDescent="0.2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x14ac:dyDescent="0.2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x14ac:dyDescent="0.2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x14ac:dyDescent="0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x14ac:dyDescent="0.2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x14ac:dyDescent="0.2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x14ac:dyDescent="0.2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x14ac:dyDescent="0.2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x14ac:dyDescent="0.2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x14ac:dyDescent="0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x14ac:dyDescent="0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x14ac:dyDescent="0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x14ac:dyDescent="0.2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x14ac:dyDescent="0.2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x14ac:dyDescent="0.2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x14ac:dyDescent="0.2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x14ac:dyDescent="0.2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x14ac:dyDescent="0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x14ac:dyDescent="0.2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x14ac:dyDescent="0.2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x14ac:dyDescent="0.2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x14ac:dyDescent="0.2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x14ac:dyDescent="0.2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x14ac:dyDescent="0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x14ac:dyDescent="0.2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x14ac:dyDescent="0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x14ac:dyDescent="0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x14ac:dyDescent="0.2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x14ac:dyDescent="0.2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x14ac:dyDescent="0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x14ac:dyDescent="0.2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x14ac:dyDescent="0.2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x14ac:dyDescent="0.2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x14ac:dyDescent="0.2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x14ac:dyDescent="0.2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x14ac:dyDescent="0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x14ac:dyDescent="0.2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x14ac:dyDescent="0.2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x14ac:dyDescent="0.2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x14ac:dyDescent="0.2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x14ac:dyDescent="0.2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x14ac:dyDescent="0.2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x14ac:dyDescent="0.2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x14ac:dyDescent="0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x14ac:dyDescent="0.2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x14ac:dyDescent="0.2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x14ac:dyDescent="0.2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x14ac:dyDescent="0.2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x14ac:dyDescent="0.2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x14ac:dyDescent="0.2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x14ac:dyDescent="0.2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x14ac:dyDescent="0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x14ac:dyDescent="0.2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x14ac:dyDescent="0.2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x14ac:dyDescent="0.2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x14ac:dyDescent="0.2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x14ac:dyDescent="0.2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x14ac:dyDescent="0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x14ac:dyDescent="0.2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x14ac:dyDescent="0.2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x14ac:dyDescent="0.2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x14ac:dyDescent="0.2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x14ac:dyDescent="0.2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x14ac:dyDescent="0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x14ac:dyDescent="0.2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x14ac:dyDescent="0.2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x14ac:dyDescent="0.2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x14ac:dyDescent="0.2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x14ac:dyDescent="0.2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x14ac:dyDescent="0.2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x14ac:dyDescent="0.2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x14ac:dyDescent="0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x14ac:dyDescent="0.2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x14ac:dyDescent="0.2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x14ac:dyDescent="0.2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x14ac:dyDescent="0.2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x14ac:dyDescent="0.2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x14ac:dyDescent="0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x14ac:dyDescent="0.2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x14ac:dyDescent="0.2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x14ac:dyDescent="0.2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x14ac:dyDescent="0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x14ac:dyDescent="0.2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x14ac:dyDescent="0.2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x14ac:dyDescent="0.2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x14ac:dyDescent="0.2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x14ac:dyDescent="0.2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x14ac:dyDescent="0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x14ac:dyDescent="0.2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x14ac:dyDescent="0.2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x14ac:dyDescent="0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x14ac:dyDescent="0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x14ac:dyDescent="0.2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x14ac:dyDescent="0.2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x14ac:dyDescent="0.2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x14ac:dyDescent="0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x14ac:dyDescent="0.2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x14ac:dyDescent="0.2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x14ac:dyDescent="0.2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x14ac:dyDescent="0.2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x14ac:dyDescent="0.2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x14ac:dyDescent="0.2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x14ac:dyDescent="0.2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x14ac:dyDescent="0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x14ac:dyDescent="0.2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x14ac:dyDescent="0.2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x14ac:dyDescent="0.2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x14ac:dyDescent="0.2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x14ac:dyDescent="0.2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x14ac:dyDescent="0.2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x14ac:dyDescent="0.2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x14ac:dyDescent="0.2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x14ac:dyDescent="0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x14ac:dyDescent="0.2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x14ac:dyDescent="0.2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x14ac:dyDescent="0.2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x14ac:dyDescent="0.2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x14ac:dyDescent="0.2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x14ac:dyDescent="0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x14ac:dyDescent="0.2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x14ac:dyDescent="0.2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x14ac:dyDescent="0.2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x14ac:dyDescent="0.2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x14ac:dyDescent="0.2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x14ac:dyDescent="0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x14ac:dyDescent="0.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x14ac:dyDescent="0.2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x14ac:dyDescent="0.2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x14ac:dyDescent="0.2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x14ac:dyDescent="0.2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x14ac:dyDescent="0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x14ac:dyDescent="0.2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x14ac:dyDescent="0.2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x14ac:dyDescent="0.2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x14ac:dyDescent="0.2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x14ac:dyDescent="0.2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x14ac:dyDescent="0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x14ac:dyDescent="0.2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x14ac:dyDescent="0.2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x14ac:dyDescent="0.2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x14ac:dyDescent="0.2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x14ac:dyDescent="0.2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x14ac:dyDescent="0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x14ac:dyDescent="0.2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x14ac:dyDescent="0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x14ac:dyDescent="0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x14ac:dyDescent="0.2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x14ac:dyDescent="0.2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x14ac:dyDescent="0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x14ac:dyDescent="0.2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x14ac:dyDescent="0.2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x14ac:dyDescent="0.2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x14ac:dyDescent="0.2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x14ac:dyDescent="0.2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x14ac:dyDescent="0.2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x14ac:dyDescent="0.2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x14ac:dyDescent="0.2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x14ac:dyDescent="0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x14ac:dyDescent="0.2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x14ac:dyDescent="0.2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x14ac:dyDescent="0.2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x14ac:dyDescent="0.2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x14ac:dyDescent="0.2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x14ac:dyDescent="0.2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x14ac:dyDescent="0.2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x14ac:dyDescent="0.2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x14ac:dyDescent="0.2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x14ac:dyDescent="0.2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x14ac:dyDescent="0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x14ac:dyDescent="0.2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x14ac:dyDescent="0.2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x14ac:dyDescent="0.2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x14ac:dyDescent="0.2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x14ac:dyDescent="0.2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x14ac:dyDescent="0.2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x14ac:dyDescent="0.2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x14ac:dyDescent="0.2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x14ac:dyDescent="0.2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x14ac:dyDescent="0.2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x14ac:dyDescent="0.2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x14ac:dyDescent="0.2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x14ac:dyDescent="0.2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x14ac:dyDescent="0.2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x14ac:dyDescent="0.2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x14ac:dyDescent="0.2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x14ac:dyDescent="0.2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x14ac:dyDescent="0.2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x14ac:dyDescent="0.2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x14ac:dyDescent="0.2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x14ac:dyDescent="0.2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x14ac:dyDescent="0.2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x14ac:dyDescent="0.2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x14ac:dyDescent="0.2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x14ac:dyDescent="0.2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x14ac:dyDescent="0.2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x14ac:dyDescent="0.2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x14ac:dyDescent="0.2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x14ac:dyDescent="0.2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x14ac:dyDescent="0.2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x14ac:dyDescent="0.2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x14ac:dyDescent="0.2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x14ac:dyDescent="0.2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x14ac:dyDescent="0.2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x14ac:dyDescent="0.2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x14ac:dyDescent="0.2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x14ac:dyDescent="0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x14ac:dyDescent="0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x14ac:dyDescent="0.2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x14ac:dyDescent="0.2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x14ac:dyDescent="0.2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x14ac:dyDescent="0.2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x14ac:dyDescent="0.2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x14ac:dyDescent="0.2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x14ac:dyDescent="0.2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x14ac:dyDescent="0.2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x14ac:dyDescent="0.2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x14ac:dyDescent="0.2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x14ac:dyDescent="0.2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x14ac:dyDescent="0.2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x14ac:dyDescent="0.2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x14ac:dyDescent="0.2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x14ac:dyDescent="0.2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x14ac:dyDescent="0.2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x14ac:dyDescent="0.2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x14ac:dyDescent="0.2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x14ac:dyDescent="0.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x14ac:dyDescent="0.2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x14ac:dyDescent="0.2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x14ac:dyDescent="0.2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x14ac:dyDescent="0.2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x14ac:dyDescent="0.2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x14ac:dyDescent="0.2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x14ac:dyDescent="0.2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x14ac:dyDescent="0.2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x14ac:dyDescent="0.2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x14ac:dyDescent="0.2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x14ac:dyDescent="0.2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x14ac:dyDescent="0.2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x14ac:dyDescent="0.2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x14ac:dyDescent="0.2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x14ac:dyDescent="0.2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x14ac:dyDescent="0.2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x14ac:dyDescent="0.2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x14ac:dyDescent="0.2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x14ac:dyDescent="0.2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x14ac:dyDescent="0.2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x14ac:dyDescent="0.2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x14ac:dyDescent="0.2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x14ac:dyDescent="0.2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x14ac:dyDescent="0.2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x14ac:dyDescent="0.2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x14ac:dyDescent="0.2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x14ac:dyDescent="0.2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x14ac:dyDescent="0.2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x14ac:dyDescent="0.2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x14ac:dyDescent="0.2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x14ac:dyDescent="0.2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x14ac:dyDescent="0.2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x14ac:dyDescent="0.2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x14ac:dyDescent="0.2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x14ac:dyDescent="0.2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x14ac:dyDescent="0.2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x14ac:dyDescent="0.2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x14ac:dyDescent="0.2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x14ac:dyDescent="0.2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x14ac:dyDescent="0.2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x14ac:dyDescent="0.2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x14ac:dyDescent="0.2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x14ac:dyDescent="0.2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x14ac:dyDescent="0.2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x14ac:dyDescent="0.2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x14ac:dyDescent="0.2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x14ac:dyDescent="0.2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x14ac:dyDescent="0.2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x14ac:dyDescent="0.2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x14ac:dyDescent="0.2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x14ac:dyDescent="0.2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x14ac:dyDescent="0.2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x14ac:dyDescent="0.2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x14ac:dyDescent="0.2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x14ac:dyDescent="0.2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x14ac:dyDescent="0.2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x14ac:dyDescent="0.2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x14ac:dyDescent="0.2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x14ac:dyDescent="0.2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x14ac:dyDescent="0.2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x14ac:dyDescent="0.2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x14ac:dyDescent="0.2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x14ac:dyDescent="0.2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x14ac:dyDescent="0.2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x14ac:dyDescent="0.2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x14ac:dyDescent="0.2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x14ac:dyDescent="0.2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x14ac:dyDescent="0.2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x14ac:dyDescent="0.2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x14ac:dyDescent="0.2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x14ac:dyDescent="0.2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x14ac:dyDescent="0.2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x14ac:dyDescent="0.2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x14ac:dyDescent="0.2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x14ac:dyDescent="0.2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x14ac:dyDescent="0.2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x14ac:dyDescent="0.2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x14ac:dyDescent="0.2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x14ac:dyDescent="0.2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x14ac:dyDescent="0.2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x14ac:dyDescent="0.2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x14ac:dyDescent="0.2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x14ac:dyDescent="0.2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x14ac:dyDescent="0.2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x14ac:dyDescent="0.2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x14ac:dyDescent="0.2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x14ac:dyDescent="0.2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x14ac:dyDescent="0.2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x14ac:dyDescent="0.2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x14ac:dyDescent="0.2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x14ac:dyDescent="0.2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x14ac:dyDescent="0.2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x14ac:dyDescent="0.2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x14ac:dyDescent="0.2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x14ac:dyDescent="0.2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x14ac:dyDescent="0.2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x14ac:dyDescent="0.2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x14ac:dyDescent="0.2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x14ac:dyDescent="0.2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x14ac:dyDescent="0.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x14ac:dyDescent="0.2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x14ac:dyDescent="0.2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x14ac:dyDescent="0.2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x14ac:dyDescent="0.2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x14ac:dyDescent="0.2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x14ac:dyDescent="0.2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x14ac:dyDescent="0.2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x14ac:dyDescent="0.2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x14ac:dyDescent="0.2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x14ac:dyDescent="0.2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x14ac:dyDescent="0.2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x14ac:dyDescent="0.2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x14ac:dyDescent="0.2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x14ac:dyDescent="0.2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x14ac:dyDescent="0.2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x14ac:dyDescent="0.2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x14ac:dyDescent="0.2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x14ac:dyDescent="0.2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x14ac:dyDescent="0.2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x14ac:dyDescent="0.2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x14ac:dyDescent="0.2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x14ac:dyDescent="0.2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x14ac:dyDescent="0.2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x14ac:dyDescent="0.2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x14ac:dyDescent="0.2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x14ac:dyDescent="0.2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x14ac:dyDescent="0.2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x14ac:dyDescent="0.2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x14ac:dyDescent="0.2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x14ac:dyDescent="0.2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x14ac:dyDescent="0.2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x14ac:dyDescent="0.2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x14ac:dyDescent="0.2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x14ac:dyDescent="0.2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x14ac:dyDescent="0.2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x14ac:dyDescent="0.2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x14ac:dyDescent="0.2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x14ac:dyDescent="0.2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x14ac:dyDescent="0.2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x14ac:dyDescent="0.2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x14ac:dyDescent="0.2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x14ac:dyDescent="0.2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x14ac:dyDescent="0.2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x14ac:dyDescent="0.2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x14ac:dyDescent="0.2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x14ac:dyDescent="0.2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x14ac:dyDescent="0.2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x14ac:dyDescent="0.2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x14ac:dyDescent="0.2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x14ac:dyDescent="0.2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x14ac:dyDescent="0.2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x14ac:dyDescent="0.2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x14ac:dyDescent="0.2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x14ac:dyDescent="0.2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x14ac:dyDescent="0.2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x14ac:dyDescent="0.2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x14ac:dyDescent="0.2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x14ac:dyDescent="0.2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x14ac:dyDescent="0.2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x14ac:dyDescent="0.2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x14ac:dyDescent="0.2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x14ac:dyDescent="0.2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x14ac:dyDescent="0.2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x14ac:dyDescent="0.2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x14ac:dyDescent="0.2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x14ac:dyDescent="0.2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x14ac:dyDescent="0.2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x14ac:dyDescent="0.2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x14ac:dyDescent="0.2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x14ac:dyDescent="0.2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x14ac:dyDescent="0.2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x14ac:dyDescent="0.2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x14ac:dyDescent="0.2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x14ac:dyDescent="0.2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x14ac:dyDescent="0.2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x14ac:dyDescent="0.2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x14ac:dyDescent="0.2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x14ac:dyDescent="0.2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x14ac:dyDescent="0.2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x14ac:dyDescent="0.2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x14ac:dyDescent="0.2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x14ac:dyDescent="0.2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x14ac:dyDescent="0.2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x14ac:dyDescent="0.2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x14ac:dyDescent="0.2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x14ac:dyDescent="0.2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x14ac:dyDescent="0.2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x14ac:dyDescent="0.2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x14ac:dyDescent="0.2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x14ac:dyDescent="0.2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x14ac:dyDescent="0.2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x14ac:dyDescent="0.2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x14ac:dyDescent="0.2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x14ac:dyDescent="0.2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x14ac:dyDescent="0.2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x14ac:dyDescent="0.2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x14ac:dyDescent="0.2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x14ac:dyDescent="0.2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x14ac:dyDescent="0.2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x14ac:dyDescent="0.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x14ac:dyDescent="0.2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x14ac:dyDescent="0.2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x14ac:dyDescent="0.2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x14ac:dyDescent="0.2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x14ac:dyDescent="0.2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x14ac:dyDescent="0.2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x14ac:dyDescent="0.2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x14ac:dyDescent="0.2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x14ac:dyDescent="0.2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x14ac:dyDescent="0.2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x14ac:dyDescent="0.2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x14ac:dyDescent="0.2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x14ac:dyDescent="0.2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x14ac:dyDescent="0.2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x14ac:dyDescent="0.2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x14ac:dyDescent="0.2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x14ac:dyDescent="0.2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x14ac:dyDescent="0.2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x14ac:dyDescent="0.2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x14ac:dyDescent="0.2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x14ac:dyDescent="0.2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x14ac:dyDescent="0.2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x14ac:dyDescent="0.2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x14ac:dyDescent="0.2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x14ac:dyDescent="0.2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x14ac:dyDescent="0.2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x14ac:dyDescent="0.2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x14ac:dyDescent="0.2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x14ac:dyDescent="0.2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x14ac:dyDescent="0.2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x14ac:dyDescent="0.2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x14ac:dyDescent="0.2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x14ac:dyDescent="0.2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x14ac:dyDescent="0.2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x14ac:dyDescent="0.2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x14ac:dyDescent="0.2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x14ac:dyDescent="0.2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x14ac:dyDescent="0.2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x14ac:dyDescent="0.2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x14ac:dyDescent="0.2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x14ac:dyDescent="0.2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x14ac:dyDescent="0.2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x14ac:dyDescent="0.2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x14ac:dyDescent="0.2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x14ac:dyDescent="0.2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x14ac:dyDescent="0.2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x14ac:dyDescent="0.2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x14ac:dyDescent="0.2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x14ac:dyDescent="0.2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x14ac:dyDescent="0.2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x14ac:dyDescent="0.2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x14ac:dyDescent="0.2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x14ac:dyDescent="0.2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x14ac:dyDescent="0.2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x14ac:dyDescent="0.2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x14ac:dyDescent="0.2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x14ac:dyDescent="0.2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x14ac:dyDescent="0.2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x14ac:dyDescent="0.2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x14ac:dyDescent="0.2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x14ac:dyDescent="0.2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x14ac:dyDescent="0.2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x14ac:dyDescent="0.2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x14ac:dyDescent="0.2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x14ac:dyDescent="0.2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x14ac:dyDescent="0.2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x14ac:dyDescent="0.2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x14ac:dyDescent="0.2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x14ac:dyDescent="0.2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x14ac:dyDescent="0.2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x14ac:dyDescent="0.2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x14ac:dyDescent="0.2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x14ac:dyDescent="0.2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x14ac:dyDescent="0.2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x14ac:dyDescent="0.2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x14ac:dyDescent="0.2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x14ac:dyDescent="0.2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x14ac:dyDescent="0.2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x14ac:dyDescent="0.2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x14ac:dyDescent="0.2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x14ac:dyDescent="0.2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x14ac:dyDescent="0.2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x14ac:dyDescent="0.2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x14ac:dyDescent="0.2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x14ac:dyDescent="0.2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x14ac:dyDescent="0.2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x14ac:dyDescent="0.2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x14ac:dyDescent="0.2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x14ac:dyDescent="0.2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x14ac:dyDescent="0.2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x14ac:dyDescent="0.2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x14ac:dyDescent="0.2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x14ac:dyDescent="0.2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x14ac:dyDescent="0.2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x14ac:dyDescent="0.2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x14ac:dyDescent="0.2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x14ac:dyDescent="0.2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x14ac:dyDescent="0.2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x14ac:dyDescent="0.2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x14ac:dyDescent="0.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x14ac:dyDescent="0.2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x14ac:dyDescent="0.2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x14ac:dyDescent="0.2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x14ac:dyDescent="0.2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x14ac:dyDescent="0.2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x14ac:dyDescent="0.2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x14ac:dyDescent="0.2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x14ac:dyDescent="0.2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x14ac:dyDescent="0.2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x14ac:dyDescent="0.2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x14ac:dyDescent="0.2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x14ac:dyDescent="0.2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x14ac:dyDescent="0.2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x14ac:dyDescent="0.2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x14ac:dyDescent="0.2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x14ac:dyDescent="0.2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x14ac:dyDescent="0.2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x14ac:dyDescent="0.2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x14ac:dyDescent="0.2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x14ac:dyDescent="0.2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x14ac:dyDescent="0.25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x14ac:dyDescent="0.25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x14ac:dyDescent="0.25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x14ac:dyDescent="0.25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x14ac:dyDescent="0.25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x14ac:dyDescent="0.25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x14ac:dyDescent="0.25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x14ac:dyDescent="0.25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x14ac:dyDescent="0.25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x14ac:dyDescent="0.2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x14ac:dyDescent="0.25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x14ac:dyDescent="0.25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x14ac:dyDescent="0.25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x14ac:dyDescent="0.25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x14ac:dyDescent="0.25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x14ac:dyDescent="0.25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x14ac:dyDescent="0.25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x14ac:dyDescent="0.25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x14ac:dyDescent="0.25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x14ac:dyDescent="0.2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x14ac:dyDescent="0.25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x14ac:dyDescent="0.25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x14ac:dyDescent="0.25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x14ac:dyDescent="0.25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x14ac:dyDescent="0.25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x14ac:dyDescent="0.25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x14ac:dyDescent="0.25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x14ac:dyDescent="0.25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x14ac:dyDescent="0.25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x14ac:dyDescent="0.2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x14ac:dyDescent="0.25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x14ac:dyDescent="0.25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x14ac:dyDescent="0.25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x14ac:dyDescent="0.25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x14ac:dyDescent="0.25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x14ac:dyDescent="0.25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x14ac:dyDescent="0.25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x14ac:dyDescent="0.25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x14ac:dyDescent="0.25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x14ac:dyDescent="0.2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x14ac:dyDescent="0.25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x14ac:dyDescent="0.25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x14ac:dyDescent="0.25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x14ac:dyDescent="0.25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x14ac:dyDescent="0.25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x14ac:dyDescent="0.25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x14ac:dyDescent="0.25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x14ac:dyDescent="0.25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x14ac:dyDescent="0.25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x14ac:dyDescent="0.2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x14ac:dyDescent="0.25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x14ac:dyDescent="0.25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x14ac:dyDescent="0.25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x14ac:dyDescent="0.25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x14ac:dyDescent="0.25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  <row r="1001" spans="1:26" x14ac:dyDescent="0.25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</row>
  </sheetData>
  <mergeCells count="11">
    <mergeCell ref="H28:L28"/>
    <mergeCell ref="H26:L26"/>
    <mergeCell ref="H25:L25"/>
    <mergeCell ref="H27:L27"/>
    <mergeCell ref="G6:L6"/>
    <mergeCell ref="C2:L2"/>
    <mergeCell ref="C10:L10"/>
    <mergeCell ref="C22:L22"/>
    <mergeCell ref="G24:L24"/>
    <mergeCell ref="G23:L23"/>
    <mergeCell ref="G5:L5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M1001"/>
  <sheetViews>
    <sheetView zoomScale="70" zoomScaleNormal="70" workbookViewId="0">
      <selection activeCell="E7" sqref="E7"/>
    </sheetView>
  </sheetViews>
  <sheetFormatPr defaultColWidth="14.42578125" defaultRowHeight="15" customHeight="1" x14ac:dyDescent="0.25"/>
  <cols>
    <col min="1" max="2" width="8.7109375" customWidth="1"/>
    <col min="3" max="3" width="6.7109375" bestFit="1" customWidth="1"/>
    <col min="4" max="4" width="37.140625" bestFit="1" customWidth="1"/>
    <col min="5" max="5" width="5.42578125" bestFit="1" customWidth="1"/>
    <col min="6" max="26" width="8.7109375" customWidth="1"/>
  </cols>
  <sheetData>
    <row r="1" spans="3:13" ht="13.9" customHeight="1" x14ac:dyDescent="0.25"/>
    <row r="2" spans="3:13" ht="14.25" customHeight="1" x14ac:dyDescent="0.25"/>
    <row r="3" spans="3:13" ht="14.25" customHeight="1" x14ac:dyDescent="0.25">
      <c r="C3" s="6" t="s">
        <v>49</v>
      </c>
      <c r="D3" s="59" t="s">
        <v>40</v>
      </c>
      <c r="E3" s="60"/>
      <c r="F3" s="60"/>
      <c r="G3" s="60"/>
      <c r="H3" s="60"/>
      <c r="I3" s="60"/>
      <c r="J3" s="60"/>
      <c r="K3" s="60"/>
      <c r="L3" s="60"/>
      <c r="M3" s="61"/>
    </row>
    <row r="4" spans="3:13" ht="14.25" customHeight="1" x14ac:dyDescent="0.25">
      <c r="C4" s="2"/>
      <c r="D4" s="9"/>
      <c r="E4" s="9"/>
      <c r="F4" s="9"/>
      <c r="G4" s="9"/>
      <c r="H4" s="9"/>
      <c r="I4" s="9"/>
      <c r="J4" s="9"/>
      <c r="K4" s="9"/>
      <c r="L4" s="9"/>
      <c r="M4" s="3"/>
    </row>
    <row r="5" spans="3:13" ht="14.25" customHeight="1" x14ac:dyDescent="0.25">
      <c r="C5" s="2"/>
      <c r="D5" s="17" t="s">
        <v>41</v>
      </c>
      <c r="E5" s="44">
        <v>1.82</v>
      </c>
      <c r="F5" s="9"/>
      <c r="G5" s="9"/>
      <c r="H5" s="9"/>
      <c r="I5" s="9"/>
      <c r="J5" s="9"/>
      <c r="K5" s="9"/>
      <c r="L5" s="9"/>
      <c r="M5" s="3"/>
    </row>
    <row r="6" spans="3:13" ht="14.25" customHeight="1" x14ac:dyDescent="0.25">
      <c r="C6" s="2"/>
      <c r="D6" s="17" t="s">
        <v>42</v>
      </c>
      <c r="E6" s="18"/>
      <c r="F6" s="9"/>
      <c r="G6" s="9"/>
      <c r="H6" s="66" t="s">
        <v>4</v>
      </c>
      <c r="I6" s="67"/>
      <c r="J6" s="67"/>
      <c r="K6" s="67"/>
      <c r="L6" s="67"/>
      <c r="M6" s="68"/>
    </row>
    <row r="7" spans="3:13" ht="14.25" customHeight="1" x14ac:dyDescent="0.25">
      <c r="C7" s="2"/>
      <c r="D7" s="17" t="s">
        <v>43</v>
      </c>
      <c r="E7" s="18">
        <v>22</v>
      </c>
      <c r="F7" s="9"/>
      <c r="G7" s="9"/>
      <c r="H7" s="69" t="s">
        <v>45</v>
      </c>
      <c r="I7" s="70"/>
      <c r="J7" s="70"/>
      <c r="K7" s="70"/>
      <c r="L7" s="70"/>
      <c r="M7" s="71"/>
    </row>
    <row r="8" spans="3:13" ht="14.25" customHeight="1" x14ac:dyDescent="0.25">
      <c r="C8" s="2"/>
      <c r="D8" s="17" t="s">
        <v>44</v>
      </c>
      <c r="E8" s="19"/>
      <c r="F8" s="9"/>
      <c r="G8" s="9"/>
      <c r="H8" s="9"/>
      <c r="I8" s="12"/>
      <c r="J8" s="9"/>
      <c r="K8" s="9"/>
      <c r="L8" s="9"/>
      <c r="M8" s="3"/>
    </row>
    <row r="9" spans="3:13" ht="14.25" customHeight="1" x14ac:dyDescent="0.25">
      <c r="C9" s="13"/>
      <c r="D9" s="10"/>
      <c r="E9" s="14"/>
      <c r="F9" s="11"/>
      <c r="G9" s="11"/>
      <c r="H9" s="11"/>
      <c r="I9" s="11"/>
      <c r="J9" s="11"/>
      <c r="K9" s="11"/>
      <c r="L9" s="11"/>
      <c r="M9" s="15"/>
    </row>
    <row r="10" spans="3:13" ht="14.25" customHeight="1" x14ac:dyDescent="0.25"/>
    <row r="11" spans="3:13" ht="14.25" customHeight="1" x14ac:dyDescent="0.25">
      <c r="C11" s="6" t="s">
        <v>50</v>
      </c>
      <c r="D11" s="59" t="s">
        <v>33</v>
      </c>
      <c r="E11" s="60"/>
      <c r="F11" s="60"/>
      <c r="G11" s="60"/>
      <c r="H11" s="60"/>
      <c r="I11" s="60"/>
      <c r="J11" s="60"/>
      <c r="K11" s="60"/>
      <c r="L11" s="60"/>
      <c r="M11" s="61"/>
    </row>
    <row r="12" spans="3:13" ht="14.25" customHeight="1" x14ac:dyDescent="0.25">
      <c r="C12" s="2"/>
      <c r="D12" s="1"/>
      <c r="E12" s="1"/>
      <c r="F12" s="1"/>
      <c r="G12" s="1"/>
      <c r="H12" s="1"/>
      <c r="I12" s="1"/>
      <c r="J12" s="1"/>
      <c r="K12" s="1"/>
      <c r="L12" s="1"/>
      <c r="M12" s="3"/>
    </row>
    <row r="13" spans="3:13" ht="14.25" customHeight="1" x14ac:dyDescent="0.25">
      <c r="C13" s="2"/>
      <c r="D13" s="17" t="s">
        <v>34</v>
      </c>
      <c r="E13" s="18">
        <v>10</v>
      </c>
      <c r="F13" s="1"/>
      <c r="G13" s="1"/>
      <c r="H13" s="1"/>
      <c r="I13" s="1"/>
      <c r="J13" s="1"/>
      <c r="K13" s="1"/>
      <c r="L13" s="1"/>
      <c r="M13" s="3"/>
    </row>
    <row r="14" spans="3:13" ht="14.25" customHeight="1" x14ac:dyDescent="0.25">
      <c r="C14" s="2"/>
      <c r="D14" s="17" t="s">
        <v>35</v>
      </c>
      <c r="E14" s="18">
        <v>75</v>
      </c>
      <c r="F14" s="1"/>
      <c r="G14" s="1"/>
      <c r="H14" s="62" t="s">
        <v>4</v>
      </c>
      <c r="I14" s="60"/>
      <c r="J14" s="60"/>
      <c r="K14" s="60"/>
      <c r="L14" s="60"/>
      <c r="M14" s="61"/>
    </row>
    <row r="15" spans="3:13" ht="14.25" customHeight="1" x14ac:dyDescent="0.25">
      <c r="C15" s="2"/>
      <c r="D15" s="17" t="s">
        <v>36</v>
      </c>
      <c r="E15" s="18">
        <v>50</v>
      </c>
      <c r="F15" s="1"/>
      <c r="G15" s="1"/>
      <c r="H15" s="63" t="s">
        <v>48</v>
      </c>
      <c r="I15" s="64"/>
      <c r="J15" s="64"/>
      <c r="K15" s="64"/>
      <c r="L15" s="64"/>
      <c r="M15" s="65"/>
    </row>
    <row r="16" spans="3:13" x14ac:dyDescent="0.25">
      <c r="C16" s="2"/>
      <c r="D16" s="17" t="s">
        <v>37</v>
      </c>
      <c r="E16" s="19"/>
      <c r="F16" s="1"/>
      <c r="G16" s="1"/>
      <c r="H16" s="1"/>
      <c r="I16" s="1"/>
      <c r="J16" s="1"/>
      <c r="K16" s="1"/>
      <c r="L16" s="1"/>
      <c r="M16" s="3"/>
    </row>
    <row r="17" spans="3:13" x14ac:dyDescent="0.25">
      <c r="C17" s="2"/>
      <c r="D17" s="17" t="s">
        <v>38</v>
      </c>
      <c r="E17" s="18">
        <f>E13+E16</f>
        <v>10</v>
      </c>
      <c r="F17" s="1"/>
      <c r="G17" s="1"/>
      <c r="H17" s="1"/>
      <c r="I17" s="1"/>
      <c r="J17" s="1"/>
      <c r="K17" s="1"/>
      <c r="L17" s="1"/>
      <c r="M17" s="3"/>
    </row>
    <row r="18" spans="3:13" x14ac:dyDescent="0.25">
      <c r="C18" s="2"/>
      <c r="D18" s="17" t="s">
        <v>39</v>
      </c>
      <c r="E18" s="20"/>
      <c r="F18" s="1"/>
      <c r="G18" s="1"/>
      <c r="H18" s="1"/>
      <c r="I18" s="1"/>
      <c r="J18" s="1"/>
      <c r="K18" s="1"/>
      <c r="L18" s="1"/>
      <c r="M18" s="3"/>
    </row>
    <row r="19" spans="3:13" ht="14.25" customHeight="1" x14ac:dyDescent="0.25">
      <c r="C19" s="4"/>
      <c r="D19" s="16"/>
      <c r="E19" s="16"/>
      <c r="F19" s="5"/>
      <c r="G19" s="5"/>
      <c r="H19" s="5"/>
      <c r="I19" s="5"/>
      <c r="J19" s="5"/>
      <c r="K19" s="7"/>
      <c r="L19" s="7"/>
      <c r="M19" s="8"/>
    </row>
    <row r="20" spans="3:13" ht="14.25" customHeight="1" x14ac:dyDescent="0.25"/>
    <row r="21" spans="3:13" ht="14.25" customHeight="1" x14ac:dyDescent="0.25"/>
    <row r="22" spans="3:13" ht="14.25" customHeight="1" x14ac:dyDescent="0.25"/>
    <row r="23" spans="3:13" ht="14.25" customHeight="1" x14ac:dyDescent="0.25"/>
    <row r="24" spans="3:13" ht="14.25" customHeight="1" x14ac:dyDescent="0.25"/>
    <row r="25" spans="3:13" ht="14.25" customHeight="1" x14ac:dyDescent="0.25"/>
    <row r="26" spans="3:13" ht="14.25" customHeight="1" x14ac:dyDescent="0.25"/>
    <row r="27" spans="3:13" ht="14.25" customHeight="1" x14ac:dyDescent="0.25"/>
    <row r="28" spans="3:13" ht="14.25" customHeight="1" x14ac:dyDescent="0.25"/>
    <row r="29" spans="3:13" ht="14.25" customHeight="1" x14ac:dyDescent="0.25"/>
    <row r="30" spans="3:13" ht="14.25" customHeight="1" x14ac:dyDescent="0.25"/>
    <row r="31" spans="3:13" ht="14.25" customHeight="1" x14ac:dyDescent="0.25"/>
    <row r="32" spans="3:1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</sheetData>
  <mergeCells count="6">
    <mergeCell ref="D11:M11"/>
    <mergeCell ref="H14:M14"/>
    <mergeCell ref="H15:M15"/>
    <mergeCell ref="D3:M3"/>
    <mergeCell ref="H6:M6"/>
    <mergeCell ref="H7:M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Theory</vt:lpstr>
      <vt:lpstr>Problem</vt:lpstr>
      <vt:lpstr>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Datamites</dc:creator>
  <cp:lastModifiedBy>kureshi sakil</cp:lastModifiedBy>
  <dcterms:created xsi:type="dcterms:W3CDTF">2025-02-20T04:00:27Z</dcterms:created>
  <dcterms:modified xsi:type="dcterms:W3CDTF">2026-03-15T08:25:29Z</dcterms:modified>
</cp:coreProperties>
</file>