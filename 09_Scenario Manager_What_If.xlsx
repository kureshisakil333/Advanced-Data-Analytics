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OneDrive\Desktop\data for practice\ADA\ADA\"/>
    </mc:Choice>
  </mc:AlternateContent>
  <xr:revisionPtr revIDLastSave="0" documentId="13_ncr:1_{C926222B-9D6A-4C9F-BA48-E9F8B682854D}" xr6:coauthVersionLast="47" xr6:coauthVersionMax="47" xr10:uidLastSave="{00000000-0000-0000-0000-000000000000}"/>
  <bookViews>
    <workbookView xWindow="-120" yWindow="-120" windowWidth="20730" windowHeight="11160" activeTab="2" xr2:uid="{00000000-000D-0000-FFFF-FFFF00000000}"/>
  </bookViews>
  <sheets>
    <sheet name="Definition" sheetId="1" r:id="rId1"/>
    <sheet name="Savings" sheetId="2" r:id="rId2"/>
    <sheet name="Expense Planning" sheetId="5" r:id="rId3"/>
    <sheet name="Scenario Summary" sheetId="6" r:id="rId4"/>
    <sheet name="Sales Estimation" sheetId="3" r:id="rId5"/>
    <sheet name="TASK_Marketing Campaign" sheetId="4" r:id="rId6"/>
  </sheets>
  <definedNames>
    <definedName name="Ad_budget">'Sales Estimation'!$C$8</definedName>
    <definedName name="Discount">'Sales Estimation'!$C$9</definedName>
    <definedName name="entertainment">Savings!$C$6</definedName>
    <definedName name="Expected_sales">'Sales Estimation'!$C$11</definedName>
    <definedName name="Food">Savings!$C$9</definedName>
    <definedName name="Housing">Savings!$C$5</definedName>
    <definedName name="Income">Savings!$C$13</definedName>
    <definedName name="loan">Savings!$C$8</definedName>
    <definedName name="Personal_care">Savings!$C$10</definedName>
    <definedName name="Savings">Savings!$C$14</definedName>
    <definedName name="Transportation">Savings!$C$7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wgedbBey0Nw/FIphE8SRvlFBsyYMv8KPTt/OybQOMWk="/>
    </ext>
  </extLst>
</workbook>
</file>

<file path=xl/calcChain.xml><?xml version="1.0" encoding="utf-8"?>
<calcChain xmlns="http://schemas.openxmlformats.org/spreadsheetml/2006/main">
  <c r="C25" i="5" l="1"/>
  <c r="C24" i="5"/>
  <c r="E14" i="4"/>
  <c r="C14" i="4"/>
  <c r="C11" i="3"/>
  <c r="C12" i="2"/>
  <c r="C14" i="2" s="1"/>
</calcChain>
</file>

<file path=xl/sharedStrings.xml><?xml version="1.0" encoding="utf-8"?>
<sst xmlns="http://schemas.openxmlformats.org/spreadsheetml/2006/main" count="91" uniqueCount="76">
  <si>
    <t>Use Scenario Manager to simulate different expense scenarios and see how they affect your savings!</t>
  </si>
  <si>
    <t>Scenarios:</t>
  </si>
  <si>
    <t>Category</t>
  </si>
  <si>
    <t>Cost</t>
  </si>
  <si>
    <t>Current</t>
  </si>
  <si>
    <t>Next</t>
  </si>
  <si>
    <t>After completing loan</t>
  </si>
  <si>
    <t>Housing</t>
  </si>
  <si>
    <t>Entertainment</t>
  </si>
  <si>
    <t>Transportation</t>
  </si>
  <si>
    <t>Loans</t>
  </si>
  <si>
    <t>Food</t>
  </si>
  <si>
    <t>Personal Care</t>
  </si>
  <si>
    <t>Total Cost</t>
  </si>
  <si>
    <t>Income</t>
  </si>
  <si>
    <t>Savings</t>
  </si>
  <si>
    <t>Metric</t>
  </si>
  <si>
    <t>Current Value</t>
  </si>
  <si>
    <t>Conservative Strategy</t>
  </si>
  <si>
    <t>Balanced Strategy</t>
  </si>
  <si>
    <t>Aggressive Strategy</t>
  </si>
  <si>
    <t>Ad Budget (in $)</t>
  </si>
  <si>
    <t>Discount (%)</t>
  </si>
  <si>
    <t>Base Sales (units)</t>
  </si>
  <si>
    <t>Expected Sales (Units)</t>
  </si>
  <si>
    <t>Low Budget, Low Discount</t>
  </si>
  <si>
    <t>Medium Budget, Medium Discount</t>
  </si>
  <si>
    <t>High Budget, High Discount</t>
  </si>
  <si>
    <t>0.1 is the conversion rate. For every $10 spent on ads, you sell 1 extra unit.</t>
  </si>
  <si>
    <r>
      <rPr>
        <sz val="11"/>
        <color theme="1"/>
        <rFont val="Calibri"/>
        <family val="2"/>
      </rPr>
      <t>Starting point,</t>
    </r>
    <r>
      <rPr>
        <sz val="11"/>
        <color theme="1"/>
        <rFont val="Calibri"/>
        <family val="2"/>
      </rPr>
      <t xml:space="preserve"> the number of units you expect to sell without any extra promotions or ad spend.</t>
    </r>
  </si>
  <si>
    <t>Marketing Campaign Planning</t>
  </si>
  <si>
    <t>1. Optimistic Case (Faster, Cheaper)</t>
  </si>
  <si>
    <t>2. Pessimistic Case (Delays, Cost Overruns)</t>
  </si>
  <si>
    <t>Task</t>
  </si>
  <si>
    <t>Current Duration (Days)</t>
  </si>
  <si>
    <t>Cost per Day ($)</t>
  </si>
  <si>
    <t>Total Cost ($)</t>
  </si>
  <si>
    <t>Duration (Days)</t>
  </si>
  <si>
    <t>Market Research</t>
  </si>
  <si>
    <t>Content Creation</t>
  </si>
  <si>
    <t>Ad Campaign Execution</t>
  </si>
  <si>
    <t>Event Coordination</t>
  </si>
  <si>
    <t>Total cost</t>
  </si>
  <si>
    <t>3. Balanced Case (Trade-off Between Time &amp; Cost)</t>
  </si>
  <si>
    <t>Item</t>
  </si>
  <si>
    <t>Current Value (in $)</t>
  </si>
  <si>
    <t>Basic Living</t>
  </si>
  <si>
    <t>Balanced Lifestyle</t>
  </si>
  <si>
    <t>Luxurious Lifestyle</t>
  </si>
  <si>
    <t>Rent/Mortgage</t>
  </si>
  <si>
    <t>Groceries &amp; Essentials</t>
  </si>
  <si>
    <t>Dining Out</t>
  </si>
  <si>
    <t>Fitness/Wellness</t>
  </si>
  <si>
    <t>Travel &amp; Vacations</t>
  </si>
  <si>
    <t>Subscriptions</t>
  </si>
  <si>
    <t>Savings/Investments</t>
  </si>
  <si>
    <t>Emergency Fund</t>
  </si>
  <si>
    <t>Charity/Donations</t>
  </si>
  <si>
    <t>Miscellaneous</t>
  </si>
  <si>
    <t>Total Monthly Expenses</t>
  </si>
  <si>
    <t>ES=(Base Sales + (Ad Budget * 0.1)) * (1 + Discount / 100)</t>
  </si>
  <si>
    <t>Base Sales:</t>
  </si>
  <si>
    <t>Ad_budget</t>
  </si>
  <si>
    <t>Discount</t>
  </si>
  <si>
    <t>Expected_sales</t>
  </si>
  <si>
    <t>first</t>
  </si>
  <si>
    <t>Created by Admin on 22-03-2026</t>
  </si>
  <si>
    <t>second</t>
  </si>
  <si>
    <t>third</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</si>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</sst>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b/>
      <sz val="11"/>
      <color theme="1"/>
      <name val="Calibri"/>
      <family val="2"/>
    </font>
    <font>
      <sz val="11"/>
      <color theme="1"/>
      <name val="Calibri"/>
      <family val="2"/>
    </font>
    <font>
      <b/>
      <sz val="13"/>
      <color theme="1"/>
      <name val="Calibri"/>
      <family val="2"/>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7">
    <fill>
      <patternFill patternType="none"/>
    </fill>
    <fill>
      <patternFill patternType="gray125"/>
    </fill>
    <fill>
      <patternFill patternType="solid">
        <fgColor rgb="FFD9E2F3"/>
        <bgColor rgb="FFD9E2F3"/>
      </patternFill>
    </fill>
    <fill>
      <patternFill patternType="solid">
        <fgColor rgb="FFFEF2CB"/>
        <bgColor rgb="FFFEF2CB"/>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3">
    <xf numFmtId="0" fontId="0" fillId="0" borderId="0" xfId="0"/>
    <xf numFmtId="0" fontId="2" fillId="0" borderId="0" xfId="0" applyFont="1"/>
    <xf numFmtId="0" fontId="3" fillId="0" borderId="0" xfId="0" applyFont="1"/>
    <xf numFmtId="0" fontId="4" fillId="0" borderId="1" xfId="0" applyFont="1" applyBorder="1"/>
    <xf numFmtId="0" fontId="5" fillId="0" borderId="1" xfId="0" applyFont="1" applyBorder="1"/>
    <xf numFmtId="0" fontId="5" fillId="2" borderId="1" xfId="0" applyFont="1" applyFill="1" applyBorder="1"/>
    <xf numFmtId="0" fontId="5" fillId="3" borderId="1" xfId="0" applyFont="1" applyFill="1" applyBorder="1"/>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5" fillId="2" borderId="1" xfId="0" applyFont="1" applyFill="1" applyBorder="1" applyAlignment="1">
      <alignment vertical="center" wrapText="1"/>
    </xf>
    <xf numFmtId="0" fontId="5" fillId="3" borderId="1" xfId="0" applyFont="1" applyFill="1" applyBorder="1" applyAlignment="1">
      <alignment vertical="center" wrapText="1"/>
    </xf>
    <xf numFmtId="0" fontId="4" fillId="0" borderId="0" xfId="0" applyFont="1"/>
    <xf numFmtId="0" fontId="4" fillId="0" borderId="1" xfId="0" applyFont="1" applyBorder="1" applyAlignment="1">
      <alignment horizontal="center" vertical="top" wrapText="1"/>
    </xf>
    <xf numFmtId="0" fontId="4" fillId="0" borderId="0" xfId="0" applyFont="1" applyAlignment="1">
      <alignment horizontal="center" vertical="center" wrapText="1"/>
    </xf>
    <xf numFmtId="0" fontId="4" fillId="0" borderId="1" xfId="0" applyFont="1" applyBorder="1" applyAlignment="1">
      <alignment vertical="top" wrapText="1"/>
    </xf>
    <xf numFmtId="0" fontId="5" fillId="0" borderId="0" xfId="0" applyFont="1" applyAlignment="1">
      <alignment vertical="center" wrapText="1"/>
    </xf>
    <xf numFmtId="3" fontId="5" fillId="2" borderId="1" xfId="0" applyNumberFormat="1" applyFont="1" applyFill="1" applyBorder="1" applyAlignment="1">
      <alignment vertical="top" wrapText="1"/>
    </xf>
    <xf numFmtId="3" fontId="5" fillId="0" borderId="0" xfId="0" applyNumberFormat="1" applyFont="1" applyAlignment="1">
      <alignment vertical="center" wrapText="1"/>
    </xf>
    <xf numFmtId="0" fontId="5" fillId="0" borderId="1" xfId="0" applyFont="1" applyBorder="1" applyAlignment="1">
      <alignment vertical="top" wrapText="1"/>
    </xf>
    <xf numFmtId="3" fontId="4" fillId="3" borderId="1" xfId="0" applyNumberFormat="1" applyFont="1" applyFill="1" applyBorder="1" applyAlignment="1">
      <alignment vertical="top" wrapText="1"/>
    </xf>
    <xf numFmtId="0" fontId="4" fillId="0" borderId="2" xfId="0" applyFont="1" applyBorder="1" applyAlignment="1">
      <alignment vertical="top" wrapText="1"/>
    </xf>
    <xf numFmtId="0" fontId="6" fillId="0" borderId="0" xfId="0" applyFont="1" applyAlignment="1">
      <alignment vertical="center"/>
    </xf>
    <xf numFmtId="0" fontId="5" fillId="0" borderId="0" xfId="0" applyFont="1" applyAlignment="1">
      <alignment horizontal="left" vertical="center"/>
    </xf>
    <xf numFmtId="0" fontId="4" fillId="0" borderId="0" xfId="0" applyFont="1" applyAlignment="1">
      <alignment vertical="center" wrapText="1"/>
    </xf>
    <xf numFmtId="3" fontId="4" fillId="0" borderId="0" xfId="0" applyNumberFormat="1" applyFont="1" applyAlignment="1">
      <alignment vertical="center" wrapText="1"/>
    </xf>
    <xf numFmtId="0" fontId="4" fillId="0" borderId="1" xfId="0" applyFont="1" applyBorder="1" applyAlignment="1">
      <alignment vertical="center" wrapText="1"/>
    </xf>
    <xf numFmtId="0" fontId="5" fillId="2" borderId="3" xfId="0" applyFont="1" applyFill="1" applyBorder="1" applyAlignment="1">
      <alignment vertical="center" wrapText="1"/>
    </xf>
    <xf numFmtId="0" fontId="5" fillId="3" borderId="3" xfId="0" applyFont="1" applyFill="1" applyBorder="1"/>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wrapText="1"/>
    </xf>
    <xf numFmtId="0" fontId="0" fillId="0" borderId="3" xfId="0" applyFill="1" applyBorder="1" applyAlignment="1"/>
    <xf numFmtId="0" fontId="0" fillId="0" borderId="5" xfId="0" applyFill="1" applyBorder="1" applyAlignment="1"/>
    <xf numFmtId="0" fontId="7" fillId="4" borderId="6" xfId="0" applyFont="1" applyFill="1" applyBorder="1" applyAlignment="1">
      <alignment horizontal="left"/>
    </xf>
    <xf numFmtId="0" fontId="7" fillId="4" borderId="4" xfId="0" applyFont="1" applyFill="1" applyBorder="1" applyAlignment="1">
      <alignment horizontal="left"/>
    </xf>
    <xf numFmtId="0" fontId="0" fillId="0" borderId="7" xfId="0" applyFill="1" applyBorder="1" applyAlignment="1"/>
    <xf numFmtId="0" fontId="8" fillId="5" borderId="3" xfId="0" applyFont="1" applyFill="1" applyBorder="1" applyAlignment="1">
      <alignment horizontal="left"/>
    </xf>
    <xf numFmtId="0" fontId="9" fillId="5" borderId="7" xfId="0" applyFont="1" applyFill="1" applyBorder="1" applyAlignment="1">
      <alignment horizontal="left"/>
    </xf>
    <xf numFmtId="0" fontId="8" fillId="5" borderId="5" xfId="0" applyFont="1" applyFill="1" applyBorder="1" applyAlignment="1">
      <alignment horizontal="left"/>
    </xf>
    <xf numFmtId="0" fontId="10" fillId="4" borderId="4" xfId="0" applyFont="1" applyFill="1" applyBorder="1" applyAlignment="1">
      <alignment horizontal="right"/>
    </xf>
    <xf numFmtId="0" fontId="10" fillId="4" borderId="6" xfId="0" applyFont="1" applyFill="1" applyBorder="1" applyAlignment="1">
      <alignment horizontal="right"/>
    </xf>
    <xf numFmtId="0" fontId="0" fillId="6" borderId="3" xfId="0" applyFill="1" applyBorder="1" applyAlignment="1"/>
    <xf numFmtId="0" fontId="11" fillId="0" borderId="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0</xdr:col>
      <xdr:colOff>533400</xdr:colOff>
      <xdr:row>1</xdr:row>
      <xdr:rowOff>0</xdr:rowOff>
    </xdr:from>
    <xdr:ext cx="5819775" cy="12668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2440875" y="3146588"/>
          <a:ext cx="5810250" cy="12668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a:solidFill>
                <a:schemeClr val="dk1"/>
              </a:solidFill>
              <a:latin typeface="Calibri"/>
              <a:ea typeface="Calibri"/>
              <a:cs typeface="Calibri"/>
              <a:sym typeface="Calibri"/>
            </a:rPr>
            <a:t>Scenario Manager</a:t>
          </a:r>
          <a:r>
            <a:rPr lang="en-US" sz="1600">
              <a:solidFill>
                <a:schemeClr val="dk1"/>
              </a:solidFill>
              <a:latin typeface="Calibri"/>
              <a:ea typeface="Calibri"/>
              <a:cs typeface="Calibri"/>
              <a:sym typeface="Calibri"/>
            </a:rPr>
            <a:t> is a </a:t>
          </a:r>
          <a:r>
            <a:rPr lang="en-US" sz="1600" b="1">
              <a:solidFill>
                <a:schemeClr val="dk1"/>
              </a:solidFill>
              <a:latin typeface="Calibri"/>
              <a:ea typeface="Calibri"/>
              <a:cs typeface="Calibri"/>
              <a:sym typeface="Calibri"/>
            </a:rPr>
            <a:t>What-If Analysis tool</a:t>
          </a:r>
          <a:r>
            <a:rPr lang="en-US" sz="1600">
              <a:solidFill>
                <a:schemeClr val="dk1"/>
              </a:solidFill>
              <a:latin typeface="Calibri"/>
              <a:ea typeface="Calibri"/>
              <a:cs typeface="Calibri"/>
              <a:sym typeface="Calibri"/>
            </a:rPr>
            <a:t> in Excel that lets you create and compare </a:t>
          </a:r>
          <a:r>
            <a:rPr lang="en-US" sz="1600" b="0">
              <a:solidFill>
                <a:schemeClr val="dk1"/>
              </a:solidFill>
              <a:latin typeface="Calibri"/>
              <a:ea typeface="Calibri"/>
              <a:cs typeface="Calibri"/>
              <a:sym typeface="Calibri"/>
            </a:rPr>
            <a:t>different sets of values </a:t>
          </a:r>
          <a:r>
            <a:rPr lang="en-US" sz="1600">
              <a:solidFill>
                <a:schemeClr val="dk1"/>
              </a:solidFill>
              <a:latin typeface="Calibri"/>
              <a:ea typeface="Calibri"/>
              <a:cs typeface="Calibri"/>
              <a:sym typeface="Calibri"/>
            </a:rPr>
            <a:t>for your data. It helps you model multiple scenarios and see how changes in variables affect the final outcome — without manually changing the data each time!</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152400</xdr:colOff>
      <xdr:row>0</xdr:row>
      <xdr:rowOff>161925</xdr:rowOff>
    </xdr:from>
    <xdr:ext cx="9048750" cy="800100"/>
    <xdr:sp macro="" textlink="">
      <xdr:nvSpPr>
        <xdr:cNvPr id="6" name="Shape 6">
          <a:extLst>
            <a:ext uri="{FF2B5EF4-FFF2-40B4-BE49-F238E27FC236}">
              <a16:creationId xmlns:a16="http://schemas.microsoft.com/office/drawing/2014/main" id="{00000000-0008-0000-0400-000006000000}"/>
            </a:ext>
          </a:extLst>
        </xdr:cNvPr>
        <xdr:cNvSpPr txBox="1"/>
      </xdr:nvSpPr>
      <xdr:spPr>
        <a:xfrm>
          <a:off x="826388" y="3384713"/>
          <a:ext cx="9039225" cy="790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Lifestyle Expense Planning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You are helping an individual plan their monthly expenses based on different lifestyle choices. The goal is to understand how various lifestyle decisions impact overall spending and savings.</a:t>
          </a:r>
          <a:endParaRPr sz="1400"/>
        </a:p>
        <a:p>
          <a:pPr marL="0" lvl="0" indent="0" algn="l" rtl="0">
            <a:spcBef>
              <a:spcPts val="0"/>
            </a:spcBef>
            <a:spcAft>
              <a:spcPts val="0"/>
            </a:spcAft>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342900</xdr:colOff>
      <xdr:row>0</xdr:row>
      <xdr:rowOff>66675</xdr:rowOff>
    </xdr:from>
    <xdr:ext cx="7943850" cy="781050"/>
    <xdr:sp macro="" textlink="">
      <xdr:nvSpPr>
        <xdr:cNvPr id="4" name="Shape 4">
          <a:extLst>
            <a:ext uri="{FF2B5EF4-FFF2-40B4-BE49-F238E27FC236}">
              <a16:creationId xmlns:a16="http://schemas.microsoft.com/office/drawing/2014/main" id="{00000000-0008-0000-0200-000004000000}"/>
            </a:ext>
          </a:extLst>
        </xdr:cNvPr>
        <xdr:cNvSpPr txBox="1"/>
      </xdr:nvSpPr>
      <xdr:spPr>
        <a:xfrm>
          <a:off x="1378838" y="3389475"/>
          <a:ext cx="7934325" cy="7810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Sales Forecasting Based on Ad Budget and Discount Strategy:</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A company is analyzing how </a:t>
          </a:r>
          <a:r>
            <a:rPr lang="en-US" sz="1100" b="0">
              <a:solidFill>
                <a:schemeClr val="dk1"/>
              </a:solidFill>
              <a:latin typeface="Calibri"/>
              <a:ea typeface="Calibri"/>
              <a:cs typeface="Calibri"/>
              <a:sym typeface="Calibri"/>
            </a:rPr>
            <a:t>advertising budget </a:t>
          </a:r>
          <a:r>
            <a:rPr lang="en-US" sz="1100">
              <a:solidFill>
                <a:schemeClr val="dk1"/>
              </a:solidFill>
              <a:latin typeface="Calibri"/>
              <a:ea typeface="Calibri"/>
              <a:cs typeface="Calibri"/>
              <a:sym typeface="Calibri"/>
            </a:rPr>
            <a:t>and </a:t>
          </a:r>
          <a:r>
            <a:rPr lang="en-US" sz="1100" b="0">
              <a:solidFill>
                <a:schemeClr val="dk1"/>
              </a:solidFill>
              <a:latin typeface="Calibri"/>
              <a:ea typeface="Calibri"/>
              <a:cs typeface="Calibri"/>
              <a:sym typeface="Calibri"/>
            </a:rPr>
            <a:t>discount offers </a:t>
          </a:r>
          <a:r>
            <a:rPr lang="en-US" sz="1100">
              <a:solidFill>
                <a:schemeClr val="dk1"/>
              </a:solidFill>
              <a:latin typeface="Calibri"/>
              <a:ea typeface="Calibri"/>
              <a:cs typeface="Calibri"/>
              <a:sym typeface="Calibri"/>
            </a:rPr>
            <a:t>impact product sales. The marketing team wants to test different budget and discount scenarios to maximize sales while staying within cost limits.</a:t>
          </a:r>
          <a:endParaRPr sz="1400"/>
        </a:p>
        <a:p>
          <a:pPr marL="0" lvl="0" indent="0" algn="l" rtl="0">
            <a:spcBef>
              <a:spcPts val="0"/>
            </a:spcBef>
            <a:spcAft>
              <a:spcPts val="0"/>
            </a:spcAft>
            <a:buNone/>
          </a:pP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381000</xdr:colOff>
      <xdr:row>1</xdr:row>
      <xdr:rowOff>133350</xdr:rowOff>
    </xdr:from>
    <xdr:ext cx="8001000" cy="638175"/>
    <xdr:sp macro="" textlink="">
      <xdr:nvSpPr>
        <xdr:cNvPr id="5" name="Shape 5">
          <a:extLst>
            <a:ext uri="{FF2B5EF4-FFF2-40B4-BE49-F238E27FC236}">
              <a16:creationId xmlns:a16="http://schemas.microsoft.com/office/drawing/2014/main" id="{00000000-0008-0000-0300-000005000000}"/>
            </a:ext>
          </a:extLst>
        </xdr:cNvPr>
        <xdr:cNvSpPr txBox="1"/>
      </xdr:nvSpPr>
      <xdr:spPr>
        <a:xfrm>
          <a:off x="1350263" y="3465675"/>
          <a:ext cx="7991475" cy="6286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A marketing team is planning a product launch campaign. The success and timeline of the campaign depend on factors like ad budget, content creation speed, and event coordination. Each phase impacts the next, and costs change depending on the duration and resources used.</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election activeCell="D17" sqref="D17"/>
    </sheetView>
  </sheetViews>
  <sheetFormatPr defaultColWidth="14.42578125" defaultRowHeight="15" customHeight="1" x14ac:dyDescent="0.25"/>
  <cols>
    <col min="1" max="26" width="8.71093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001"/>
  <sheetViews>
    <sheetView workbookViewId="0">
      <selection activeCell="F8" sqref="F8"/>
    </sheetView>
  </sheetViews>
  <sheetFormatPr defaultColWidth="14.42578125" defaultRowHeight="15" customHeight="1" x14ac:dyDescent="0.25"/>
  <cols>
    <col min="1" max="1" width="8.7109375" customWidth="1"/>
    <col min="2" max="2" width="13.85546875" customWidth="1"/>
    <col min="3" max="12" width="8.7109375" customWidth="1"/>
    <col min="13" max="13" width="19.5703125" customWidth="1"/>
    <col min="14" max="26" width="8.7109375" customWidth="1"/>
  </cols>
  <sheetData>
    <row r="1" spans="2:13" ht="14.25" customHeight="1" x14ac:dyDescent="0.25">
      <c r="C1" s="28" t="s">
        <v>0</v>
      </c>
      <c r="D1" s="28"/>
      <c r="E1" s="28"/>
      <c r="F1" s="28"/>
      <c r="G1" s="28"/>
      <c r="H1" s="28"/>
      <c r="I1" s="28"/>
      <c r="J1" s="28"/>
      <c r="K1" s="28"/>
      <c r="L1" s="28"/>
    </row>
    <row r="2" spans="2:13" ht="14.25" customHeight="1" x14ac:dyDescent="0.25">
      <c r="C2" s="1"/>
    </row>
    <row r="3" spans="2:13" ht="14.25" customHeight="1" x14ac:dyDescent="0.25">
      <c r="K3" s="2" t="s">
        <v>1</v>
      </c>
    </row>
    <row r="4" spans="2:13" ht="14.25" customHeight="1" x14ac:dyDescent="0.25">
      <c r="B4" s="3" t="s">
        <v>2</v>
      </c>
      <c r="C4" s="3" t="s">
        <v>3</v>
      </c>
      <c r="K4" s="4" t="s">
        <v>4</v>
      </c>
      <c r="L4" s="4" t="s">
        <v>5</v>
      </c>
      <c r="M4" s="4" t="s">
        <v>6</v>
      </c>
    </row>
    <row r="5" spans="2:13" ht="14.25" customHeight="1" x14ac:dyDescent="0.25">
      <c r="B5" s="4" t="s">
        <v>7</v>
      </c>
      <c r="C5" s="4">
        <v>3000</v>
      </c>
      <c r="K5" s="4">
        <v>4000</v>
      </c>
      <c r="L5" s="4">
        <v>5000</v>
      </c>
      <c r="M5" s="4">
        <v>3000</v>
      </c>
    </row>
    <row r="6" spans="2:13" ht="14.25" customHeight="1" x14ac:dyDescent="0.25">
      <c r="B6" s="4" t="s">
        <v>8</v>
      </c>
      <c r="C6" s="4">
        <v>1500</v>
      </c>
      <c r="K6" s="4">
        <v>1500</v>
      </c>
      <c r="L6" s="4">
        <v>1500</v>
      </c>
      <c r="M6" s="4">
        <v>1500</v>
      </c>
    </row>
    <row r="7" spans="2:13" ht="14.25" customHeight="1" x14ac:dyDescent="0.25">
      <c r="B7" s="4" t="s">
        <v>9</v>
      </c>
      <c r="C7" s="4">
        <v>2000</v>
      </c>
      <c r="K7" s="4">
        <v>2000</v>
      </c>
      <c r="L7" s="4">
        <v>2500</v>
      </c>
      <c r="M7" s="4">
        <v>2000</v>
      </c>
    </row>
    <row r="8" spans="2:13" ht="14.25" customHeight="1" x14ac:dyDescent="0.25">
      <c r="B8" s="4" t="s">
        <v>10</v>
      </c>
      <c r="C8" s="4"/>
      <c r="K8" s="4">
        <v>4000</v>
      </c>
      <c r="L8" s="4">
        <v>2500</v>
      </c>
      <c r="M8" s="4"/>
    </row>
    <row r="9" spans="2:13" ht="14.25" customHeight="1" x14ac:dyDescent="0.25">
      <c r="B9" s="4" t="s">
        <v>11</v>
      </c>
      <c r="C9" s="4">
        <v>1500</v>
      </c>
      <c r="K9" s="4">
        <v>1500</v>
      </c>
      <c r="L9" s="4">
        <v>3000</v>
      </c>
      <c r="M9" s="4">
        <v>1500</v>
      </c>
    </row>
    <row r="10" spans="2:13" ht="14.25" customHeight="1" x14ac:dyDescent="0.25">
      <c r="B10" s="4" t="s">
        <v>12</v>
      </c>
      <c r="C10" s="4">
        <v>2000</v>
      </c>
      <c r="K10" s="4">
        <v>2000</v>
      </c>
      <c r="L10" s="4">
        <v>2000</v>
      </c>
      <c r="M10" s="4">
        <v>2000</v>
      </c>
    </row>
    <row r="11" spans="2:13" ht="14.25" customHeight="1" x14ac:dyDescent="0.25"/>
    <row r="12" spans="2:13" ht="14.25" customHeight="1" x14ac:dyDescent="0.25">
      <c r="B12" s="4" t="s">
        <v>13</v>
      </c>
      <c r="C12" s="4">
        <f>SUM(C5:C10)</f>
        <v>10000</v>
      </c>
      <c r="K12" s="4"/>
      <c r="L12" s="4"/>
      <c r="M12" s="4"/>
    </row>
    <row r="13" spans="2:13" ht="14.25" customHeight="1" x14ac:dyDescent="0.25">
      <c r="B13" s="4" t="s">
        <v>14</v>
      </c>
      <c r="C13" s="5">
        <v>35000</v>
      </c>
      <c r="K13" s="4">
        <v>20000</v>
      </c>
      <c r="L13" s="4">
        <v>35000</v>
      </c>
      <c r="M13" s="4">
        <v>35000</v>
      </c>
    </row>
    <row r="14" spans="2:13" ht="14.25" customHeight="1" x14ac:dyDescent="0.25">
      <c r="B14" s="4" t="s">
        <v>15</v>
      </c>
      <c r="C14" s="6">
        <f>C13-C12</f>
        <v>25000</v>
      </c>
      <c r="K14" s="4"/>
      <c r="L14" s="4"/>
      <c r="M14" s="4"/>
    </row>
    <row r="15" spans="2:13" ht="14.25" customHeight="1" x14ac:dyDescent="0.25"/>
    <row r="16" spans="2: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1">
    <mergeCell ref="C1:L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1001"/>
  <sheetViews>
    <sheetView tabSelected="1" topLeftCell="A8" workbookViewId="0">
      <selection activeCell="J23" sqref="J23"/>
    </sheetView>
  </sheetViews>
  <sheetFormatPr defaultColWidth="14.42578125" defaultRowHeight="15" customHeight="1" x14ac:dyDescent="0.25"/>
  <cols>
    <col min="1" max="1" width="8.7109375" customWidth="1"/>
    <col min="2" max="2" width="21.85546875" customWidth="1"/>
    <col min="3" max="3" width="10.42578125" customWidth="1"/>
    <col min="4" max="26" width="8.7109375" customWidth="1"/>
  </cols>
  <sheetData>
    <row r="1" spans="2:12" ht="14.25" customHeight="1" x14ac:dyDescent="0.25"/>
    <row r="2" spans="2:12" ht="14.25" customHeight="1" x14ac:dyDescent="0.25"/>
    <row r="3" spans="2:12" ht="14.25" customHeight="1" x14ac:dyDescent="0.25"/>
    <row r="4" spans="2:12" ht="14.25" customHeight="1" x14ac:dyDescent="0.25"/>
    <row r="5" spans="2:12" ht="14.25" customHeight="1" x14ac:dyDescent="0.25"/>
    <row r="6" spans="2:12" ht="14.25" customHeight="1" x14ac:dyDescent="0.25"/>
    <row r="7" spans="2:12" ht="14.25" customHeight="1" x14ac:dyDescent="0.25">
      <c r="J7" s="2" t="s">
        <v>1</v>
      </c>
    </row>
    <row r="8" spans="2:12" ht="14.25" customHeight="1" x14ac:dyDescent="0.25">
      <c r="B8" s="7" t="s">
        <v>44</v>
      </c>
      <c r="C8" s="7" t="s">
        <v>45</v>
      </c>
      <c r="J8" s="13" t="s">
        <v>46</v>
      </c>
      <c r="K8" s="13" t="s">
        <v>47</v>
      </c>
      <c r="L8" s="13" t="s">
        <v>48</v>
      </c>
    </row>
    <row r="9" spans="2:12" ht="14.25" customHeight="1" x14ac:dyDescent="0.25">
      <c r="B9" s="25" t="s">
        <v>49</v>
      </c>
      <c r="C9" s="9">
        <v>1500</v>
      </c>
      <c r="J9" s="15">
        <v>1000</v>
      </c>
      <c r="K9" s="15">
        <v>1200</v>
      </c>
      <c r="L9" s="15">
        <v>1500</v>
      </c>
    </row>
    <row r="10" spans="2:12" ht="14.25" customHeight="1" x14ac:dyDescent="0.25">
      <c r="B10" s="25" t="s">
        <v>50</v>
      </c>
      <c r="C10" s="9">
        <v>500</v>
      </c>
      <c r="J10" s="15">
        <v>300</v>
      </c>
      <c r="K10" s="15">
        <v>500</v>
      </c>
      <c r="L10" s="15">
        <v>800</v>
      </c>
    </row>
    <row r="11" spans="2:12" ht="14.25" customHeight="1" x14ac:dyDescent="0.25">
      <c r="B11" s="25" t="s">
        <v>9</v>
      </c>
      <c r="C11" s="9">
        <v>200</v>
      </c>
      <c r="J11" s="15">
        <v>150</v>
      </c>
      <c r="K11" s="15">
        <v>250</v>
      </c>
      <c r="L11" s="15">
        <v>400</v>
      </c>
    </row>
    <row r="12" spans="2:12" ht="14.25" customHeight="1" x14ac:dyDescent="0.25">
      <c r="B12" s="25" t="s">
        <v>8</v>
      </c>
      <c r="C12" s="9">
        <v>300</v>
      </c>
      <c r="J12" s="15">
        <v>100</v>
      </c>
      <c r="K12" s="15">
        <v>300</v>
      </c>
      <c r="L12" s="15">
        <v>600</v>
      </c>
    </row>
    <row r="13" spans="2:12" ht="14.25" customHeight="1" x14ac:dyDescent="0.25">
      <c r="B13" s="25" t="s">
        <v>51</v>
      </c>
      <c r="C13" s="9">
        <v>250</v>
      </c>
      <c r="J13" s="15">
        <v>100</v>
      </c>
      <c r="K13" s="15">
        <v>250</v>
      </c>
      <c r="L13" s="15">
        <v>500</v>
      </c>
    </row>
    <row r="14" spans="2:12" ht="14.25" customHeight="1" x14ac:dyDescent="0.25">
      <c r="B14" s="25" t="s">
        <v>52</v>
      </c>
      <c r="C14" s="9">
        <v>150</v>
      </c>
      <c r="J14" s="15">
        <v>50</v>
      </c>
      <c r="K14" s="15">
        <v>150</v>
      </c>
      <c r="L14" s="15">
        <v>300</v>
      </c>
    </row>
    <row r="15" spans="2:12" ht="14.25" customHeight="1" x14ac:dyDescent="0.25">
      <c r="B15" s="25" t="s">
        <v>12</v>
      </c>
      <c r="C15" s="9">
        <v>100</v>
      </c>
      <c r="J15" s="15">
        <v>50</v>
      </c>
      <c r="K15" s="15">
        <v>100</v>
      </c>
      <c r="L15" s="15">
        <v>200</v>
      </c>
    </row>
    <row r="16" spans="2:12" ht="14.25" customHeight="1" x14ac:dyDescent="0.25">
      <c r="B16" s="25" t="s">
        <v>53</v>
      </c>
      <c r="C16" s="9">
        <v>400</v>
      </c>
      <c r="J16" s="15">
        <v>100</v>
      </c>
      <c r="K16" s="15">
        <v>300</v>
      </c>
      <c r="L16" s="15">
        <v>800</v>
      </c>
    </row>
    <row r="17" spans="2:12" ht="14.25" customHeight="1" x14ac:dyDescent="0.25">
      <c r="B17" s="25" t="s">
        <v>54</v>
      </c>
      <c r="C17" s="9">
        <v>100</v>
      </c>
      <c r="J17" s="15">
        <v>50</v>
      </c>
      <c r="K17" s="15">
        <v>100</v>
      </c>
      <c r="L17" s="15">
        <v>200</v>
      </c>
    </row>
    <row r="18" spans="2:12" ht="14.25" customHeight="1" x14ac:dyDescent="0.25">
      <c r="B18" s="25" t="s">
        <v>55</v>
      </c>
      <c r="C18" s="9">
        <v>500</v>
      </c>
      <c r="J18" s="15">
        <v>300</v>
      </c>
      <c r="K18" s="15">
        <v>500</v>
      </c>
      <c r="L18" s="15">
        <v>1000</v>
      </c>
    </row>
    <row r="19" spans="2:12" ht="14.25" customHeight="1" x14ac:dyDescent="0.25">
      <c r="B19" s="25" t="s">
        <v>56</v>
      </c>
      <c r="C19" s="9">
        <v>200</v>
      </c>
      <c r="J19" s="15">
        <v>200</v>
      </c>
      <c r="K19" s="15">
        <v>200</v>
      </c>
      <c r="L19" s="15">
        <v>200</v>
      </c>
    </row>
    <row r="20" spans="2:12" ht="14.25" customHeight="1" x14ac:dyDescent="0.25">
      <c r="B20" s="25" t="s">
        <v>57</v>
      </c>
      <c r="C20" s="9">
        <v>100</v>
      </c>
      <c r="J20" s="15">
        <v>50</v>
      </c>
      <c r="K20" s="15">
        <v>100</v>
      </c>
      <c r="L20" s="15">
        <v>200</v>
      </c>
    </row>
    <row r="21" spans="2:12" ht="14.25" customHeight="1" x14ac:dyDescent="0.25">
      <c r="B21" s="25" t="s">
        <v>58</v>
      </c>
      <c r="C21" s="9">
        <v>150</v>
      </c>
      <c r="J21" s="15">
        <v>100</v>
      </c>
      <c r="K21" s="15">
        <v>150</v>
      </c>
      <c r="L21" s="15">
        <v>300</v>
      </c>
    </row>
    <row r="22" spans="2:12" ht="14.25" customHeight="1" x14ac:dyDescent="0.25">
      <c r="B22" s="23"/>
      <c r="C22" s="15"/>
      <c r="J22" s="15"/>
      <c r="K22" s="15"/>
      <c r="L22" s="15"/>
    </row>
    <row r="23" spans="2:12" ht="14.25" customHeight="1" x14ac:dyDescent="0.25">
      <c r="B23" s="23" t="s">
        <v>14</v>
      </c>
      <c r="C23" s="26">
        <v>5800</v>
      </c>
      <c r="J23" s="15">
        <v>5500</v>
      </c>
      <c r="K23" s="15">
        <v>5800</v>
      </c>
      <c r="L23" s="15">
        <v>6500</v>
      </c>
    </row>
    <row r="24" spans="2:12" ht="14.25" customHeight="1" x14ac:dyDescent="0.25">
      <c r="B24" s="23" t="s">
        <v>59</v>
      </c>
      <c r="C24" s="1">
        <f>SUM(C9:C21)</f>
        <v>4450</v>
      </c>
    </row>
    <row r="25" spans="2:12" ht="14.25" customHeight="1" x14ac:dyDescent="0.25">
      <c r="B25" s="23" t="s">
        <v>15</v>
      </c>
      <c r="C25" s="27">
        <f>C23-C24</f>
        <v>1350</v>
      </c>
    </row>
    <row r="26" spans="2:12" ht="14.25" customHeight="1" x14ac:dyDescent="0.25"/>
    <row r="27" spans="2:12" ht="14.25" customHeight="1" x14ac:dyDescent="0.25"/>
    <row r="28" spans="2:12" ht="14.25" customHeight="1" x14ac:dyDescent="0.25"/>
    <row r="29" spans="2:12" ht="14.25" customHeight="1" x14ac:dyDescent="0.25"/>
    <row r="30" spans="2:12" ht="14.25" customHeight="1" x14ac:dyDescent="0.25"/>
    <row r="31" spans="2:12" ht="14.25" customHeight="1" x14ac:dyDescent="0.25"/>
    <row r="32" spans="2:1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A8CF7-CB7D-48D1-B303-9339186CAD83}">
  <sheetPr>
    <outlinePr summaryBelow="0"/>
  </sheetPr>
  <dimension ref="B1:G12"/>
  <sheetViews>
    <sheetView showGridLines="0" workbookViewId="0"/>
  </sheetViews>
  <sheetFormatPr defaultRowHeight="15" outlineLevelRow="1" outlineLevelCol="1" x14ac:dyDescent="0.25"/>
  <cols>
    <col min="3" max="3" width="14.7109375" bestFit="1" customWidth="1"/>
    <col min="4" max="7" width="13.140625" bestFit="1" customWidth="1" outlineLevel="1"/>
  </cols>
  <sheetData>
    <row r="1" spans="2:7" ht="15.75" thickBot="1" x14ac:dyDescent="0.3"/>
    <row r="2" spans="2:7" ht="15.75" x14ac:dyDescent="0.25">
      <c r="B2" s="34" t="s">
        <v>69</v>
      </c>
      <c r="C2" s="34"/>
      <c r="D2" s="39"/>
      <c r="E2" s="39"/>
      <c r="F2" s="39"/>
      <c r="G2" s="39"/>
    </row>
    <row r="3" spans="2:7" ht="15.75" collapsed="1" x14ac:dyDescent="0.25">
      <c r="B3" s="33"/>
      <c r="C3" s="33"/>
      <c r="D3" s="40" t="s">
        <v>71</v>
      </c>
      <c r="E3" s="40" t="s">
        <v>65</v>
      </c>
      <c r="F3" s="40" t="s">
        <v>67</v>
      </c>
      <c r="G3" s="40" t="s">
        <v>68</v>
      </c>
    </row>
    <row r="4" spans="2:7" ht="22.5" hidden="1" outlineLevel="1" x14ac:dyDescent="0.25">
      <c r="B4" s="36"/>
      <c r="C4" s="36"/>
      <c r="D4" s="31"/>
      <c r="E4" s="42" t="s">
        <v>66</v>
      </c>
      <c r="F4" s="42" t="s">
        <v>66</v>
      </c>
      <c r="G4" s="42" t="s">
        <v>66</v>
      </c>
    </row>
    <row r="5" spans="2:7" x14ac:dyDescent="0.25">
      <c r="B5" s="37" t="s">
        <v>70</v>
      </c>
      <c r="C5" s="37"/>
      <c r="D5" s="35"/>
      <c r="E5" s="35"/>
      <c r="F5" s="35"/>
      <c r="G5" s="35"/>
    </row>
    <row r="6" spans="2:7" outlineLevel="1" x14ac:dyDescent="0.25">
      <c r="B6" s="36"/>
      <c r="C6" s="36" t="s">
        <v>62</v>
      </c>
      <c r="D6" s="31">
        <v>1200</v>
      </c>
      <c r="E6" s="41">
        <v>800</v>
      </c>
      <c r="F6" s="41">
        <v>1200</v>
      </c>
      <c r="G6" s="41">
        <v>1500</v>
      </c>
    </row>
    <row r="7" spans="2:7" outlineLevel="1" x14ac:dyDescent="0.25">
      <c r="B7" s="36"/>
      <c r="C7" s="36" t="s">
        <v>63</v>
      </c>
      <c r="D7" s="31">
        <v>7</v>
      </c>
      <c r="E7" s="41">
        <v>3</v>
      </c>
      <c r="F7" s="41">
        <v>7</v>
      </c>
      <c r="G7" s="41">
        <v>10</v>
      </c>
    </row>
    <row r="8" spans="2:7" x14ac:dyDescent="0.25">
      <c r="B8" s="37" t="s">
        <v>72</v>
      </c>
      <c r="C8" s="37"/>
      <c r="D8" s="35"/>
      <c r="E8" s="35"/>
      <c r="F8" s="35"/>
      <c r="G8" s="35"/>
    </row>
    <row r="9" spans="2:7" ht="15.75" outlineLevel="1" thickBot="1" x14ac:dyDescent="0.3">
      <c r="B9" s="38"/>
      <c r="C9" s="38" t="s">
        <v>64</v>
      </c>
      <c r="D9" s="32">
        <v>342.4</v>
      </c>
      <c r="E9" s="32">
        <v>288.39999999999998</v>
      </c>
      <c r="F9" s="32">
        <v>342.4</v>
      </c>
      <c r="G9" s="32">
        <v>385</v>
      </c>
    </row>
    <row r="10" spans="2:7" x14ac:dyDescent="0.25">
      <c r="B10" t="s">
        <v>73</v>
      </c>
    </row>
    <row r="11" spans="2:7" x14ac:dyDescent="0.25">
      <c r="B11" t="s">
        <v>74</v>
      </c>
    </row>
    <row r="12" spans="2:7" x14ac:dyDescent="0.25">
      <c r="B12" t="s">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1000"/>
  <sheetViews>
    <sheetView workbookViewId="0">
      <selection activeCell="C11" sqref="C11"/>
    </sheetView>
  </sheetViews>
  <sheetFormatPr defaultColWidth="14.42578125" defaultRowHeight="15" customHeight="1" x14ac:dyDescent="0.25"/>
  <cols>
    <col min="1" max="1" width="8.7109375" customWidth="1"/>
    <col min="2" max="2" width="21.140625" customWidth="1"/>
    <col min="3" max="3" width="13.28515625" customWidth="1"/>
    <col min="4" max="7" width="8.7109375" customWidth="1"/>
    <col min="8" max="8" width="11.140625" customWidth="1"/>
    <col min="9" max="9" width="23.140625" customWidth="1"/>
    <col min="10" max="10" width="20.140625" customWidth="1"/>
    <col min="11" max="11" width="23.28515625" customWidth="1"/>
    <col min="12" max="26" width="8.7109375" customWidth="1"/>
  </cols>
  <sheetData>
    <row r="1" spans="2:11" ht="14.25" customHeight="1" x14ac:dyDescent="0.25"/>
    <row r="2" spans="2:11" ht="14.25" customHeight="1" x14ac:dyDescent="0.25"/>
    <row r="3" spans="2:11" ht="14.25" customHeight="1" x14ac:dyDescent="0.25"/>
    <row r="4" spans="2:11" ht="14.25" customHeight="1" x14ac:dyDescent="0.25"/>
    <row r="5" spans="2:11" ht="14.25" customHeight="1" x14ac:dyDescent="0.25"/>
    <row r="6" spans="2:11" ht="14.25" customHeight="1" x14ac:dyDescent="0.25">
      <c r="I6" s="2" t="s">
        <v>1</v>
      </c>
    </row>
    <row r="7" spans="2:11" ht="14.25" customHeight="1" x14ac:dyDescent="0.25">
      <c r="B7" s="7" t="s">
        <v>16</v>
      </c>
      <c r="C7" s="7" t="s">
        <v>17</v>
      </c>
      <c r="I7" s="4" t="s">
        <v>18</v>
      </c>
      <c r="J7" s="4" t="s">
        <v>19</v>
      </c>
      <c r="K7" s="4" t="s">
        <v>20</v>
      </c>
    </row>
    <row r="8" spans="2:11" ht="14.25" customHeight="1" x14ac:dyDescent="0.25">
      <c r="B8" s="8" t="s">
        <v>21</v>
      </c>
      <c r="C8" s="9">
        <v>1200</v>
      </c>
      <c r="I8" s="8">
        <v>800</v>
      </c>
      <c r="J8" s="8">
        <v>1200</v>
      </c>
      <c r="K8" s="8">
        <v>1500</v>
      </c>
    </row>
    <row r="9" spans="2:11" ht="14.25" customHeight="1" x14ac:dyDescent="0.25">
      <c r="B9" s="8" t="s">
        <v>22</v>
      </c>
      <c r="C9" s="9">
        <v>7</v>
      </c>
      <c r="I9" s="8">
        <v>3</v>
      </c>
      <c r="J9" s="8">
        <v>7</v>
      </c>
      <c r="K9" s="8">
        <v>10</v>
      </c>
    </row>
    <row r="10" spans="2:11" ht="14.25" customHeight="1" x14ac:dyDescent="0.25">
      <c r="B10" s="4" t="s">
        <v>23</v>
      </c>
      <c r="C10" s="4">
        <v>200</v>
      </c>
      <c r="I10" s="8"/>
      <c r="J10" s="8"/>
      <c r="K10" s="8"/>
    </row>
    <row r="11" spans="2:11" ht="14.25" customHeight="1" x14ac:dyDescent="0.25">
      <c r="B11" s="8" t="s">
        <v>24</v>
      </c>
      <c r="C11" s="10">
        <f>(C10+(C8*0.1))*(1+C9/100)</f>
        <v>342.40000000000003</v>
      </c>
      <c r="I11" s="4" t="s">
        <v>25</v>
      </c>
      <c r="J11" s="4" t="s">
        <v>26</v>
      </c>
      <c r="K11" s="4" t="s">
        <v>27</v>
      </c>
    </row>
    <row r="12" spans="2:11" ht="14.25" customHeight="1" x14ac:dyDescent="0.25"/>
    <row r="13" spans="2:11" ht="14.25" customHeight="1" x14ac:dyDescent="0.25"/>
    <row r="14" spans="2:11" ht="14.25" customHeight="1" x14ac:dyDescent="0.25">
      <c r="H14" s="29" t="s">
        <v>60</v>
      </c>
      <c r="I14" s="29"/>
      <c r="J14" s="29"/>
    </row>
    <row r="15" spans="2:11" ht="14.25" customHeight="1" x14ac:dyDescent="0.25">
      <c r="I15" s="28" t="s">
        <v>28</v>
      </c>
      <c r="J15" s="28"/>
      <c r="K15" s="28"/>
    </row>
    <row r="16" spans="2:11" ht="14.25" customHeight="1" x14ac:dyDescent="0.25"/>
    <row r="17" spans="8:11" ht="14.25" customHeight="1" x14ac:dyDescent="0.25">
      <c r="H17" s="11" t="s">
        <v>61</v>
      </c>
      <c r="I17" s="30" t="s">
        <v>29</v>
      </c>
      <c r="J17" s="30"/>
      <c r="K17" s="30"/>
    </row>
    <row r="18" spans="8:11" ht="14.25" customHeight="1" x14ac:dyDescent="0.25">
      <c r="I18" s="30"/>
      <c r="J18" s="30"/>
      <c r="K18" s="30"/>
    </row>
    <row r="19" spans="8:11" ht="14.25" customHeight="1" x14ac:dyDescent="0.25"/>
    <row r="20" spans="8:11" ht="14.25" customHeight="1" x14ac:dyDescent="0.25"/>
    <row r="21" spans="8:11" ht="14.25" customHeight="1" x14ac:dyDescent="0.25"/>
    <row r="22" spans="8:11" ht="14.25" customHeight="1" x14ac:dyDescent="0.25"/>
    <row r="23" spans="8:11" ht="14.25" customHeight="1" x14ac:dyDescent="0.25"/>
    <row r="24" spans="8:11" ht="14.25" customHeight="1" x14ac:dyDescent="0.25"/>
    <row r="25" spans="8:11" ht="14.25" customHeight="1" x14ac:dyDescent="0.25"/>
    <row r="26" spans="8:11" ht="14.25" customHeight="1" x14ac:dyDescent="0.25"/>
    <row r="27" spans="8:11" ht="14.25" customHeight="1" x14ac:dyDescent="0.25"/>
    <row r="28" spans="8:11" ht="14.25" customHeight="1" x14ac:dyDescent="0.25"/>
    <row r="29" spans="8:11" ht="14.25" customHeight="1" x14ac:dyDescent="0.25"/>
    <row r="30" spans="8:11" ht="14.25" customHeight="1" x14ac:dyDescent="0.25"/>
    <row r="31" spans="8:11" ht="14.25" customHeight="1" x14ac:dyDescent="0.25"/>
    <row r="32" spans="8: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scenarios current="0" sqref="C11">
    <scenario name="first" locked="1" count="2" user="Admin" comment="Created by Admin on 22-03-2026">
      <inputCells r="C8" val="800"/>
      <inputCells r="C9" val="3"/>
    </scenario>
    <scenario name="second" locked="1" count="2" user="Admin" comment="Created by Admin on 22-03-2026">
      <inputCells r="C8" val="1200"/>
      <inputCells r="C9" val="7"/>
    </scenario>
    <scenario name="third" locked="1" count="2" user="Admin" comment="Created by Admin on 22-03-2026">
      <inputCells r="C8" val="1500"/>
      <inputCells r="C9" val="10"/>
    </scenario>
  </scenarios>
  <mergeCells count="3">
    <mergeCell ref="H14:J14"/>
    <mergeCell ref="I15:K15"/>
    <mergeCell ref="I17:K18"/>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O1001"/>
  <sheetViews>
    <sheetView workbookViewId="0">
      <selection activeCell="B17" sqref="B17"/>
    </sheetView>
  </sheetViews>
  <sheetFormatPr defaultColWidth="14.42578125" defaultRowHeight="15" customHeight="1" x14ac:dyDescent="0.25"/>
  <cols>
    <col min="1" max="1" width="8.7109375" customWidth="1"/>
    <col min="2" max="2" width="21.140625" customWidth="1"/>
    <col min="3" max="3" width="12.28515625" customWidth="1"/>
    <col min="4" max="8" width="8.7109375" customWidth="1"/>
    <col min="9" max="9" width="15" customWidth="1"/>
    <col min="10" max="26" width="8.7109375" customWidth="1"/>
  </cols>
  <sheetData>
    <row r="1" spans="2:15" ht="14.25" customHeight="1" x14ac:dyDescent="0.25">
      <c r="C1" s="11" t="s">
        <v>30</v>
      </c>
    </row>
    <row r="2" spans="2:15" ht="14.25" customHeight="1" x14ac:dyDescent="0.25"/>
    <row r="3" spans="2:15" ht="14.25" customHeight="1" x14ac:dyDescent="0.25"/>
    <row r="4" spans="2:15" ht="14.25" customHeight="1" x14ac:dyDescent="0.25"/>
    <row r="5" spans="2:15" ht="14.25" customHeight="1" x14ac:dyDescent="0.25"/>
    <row r="6" spans="2:15" ht="14.25" customHeight="1" x14ac:dyDescent="0.25"/>
    <row r="7" spans="2:15" ht="14.25" customHeight="1" x14ac:dyDescent="0.25">
      <c r="I7" s="2" t="s">
        <v>1</v>
      </c>
    </row>
    <row r="8" spans="2:15" ht="14.25" customHeight="1" x14ac:dyDescent="0.25">
      <c r="I8" s="1" t="s">
        <v>31</v>
      </c>
      <c r="M8" s="1" t="s">
        <v>32</v>
      </c>
    </row>
    <row r="9" spans="2:15" ht="14.25" customHeight="1" x14ac:dyDescent="0.25">
      <c r="B9" s="12" t="s">
        <v>33</v>
      </c>
      <c r="C9" s="12" t="s">
        <v>34</v>
      </c>
      <c r="D9" s="12" t="s">
        <v>35</v>
      </c>
      <c r="E9" s="12" t="s">
        <v>36</v>
      </c>
      <c r="I9" s="13" t="s">
        <v>37</v>
      </c>
      <c r="J9" s="13" t="s">
        <v>35</v>
      </c>
      <c r="K9" s="13"/>
      <c r="M9" s="13" t="s">
        <v>37</v>
      </c>
      <c r="N9" s="13" t="s">
        <v>35</v>
      </c>
      <c r="O9" s="13"/>
    </row>
    <row r="10" spans="2:15" ht="14.25" customHeight="1" x14ac:dyDescent="0.25">
      <c r="B10" s="14" t="s">
        <v>38</v>
      </c>
      <c r="C10" s="15">
        <v>12</v>
      </c>
      <c r="D10" s="15">
        <v>550</v>
      </c>
      <c r="E10" s="16">
        <v>6600</v>
      </c>
      <c r="I10" s="15">
        <v>8</v>
      </c>
      <c r="J10" s="15">
        <v>480</v>
      </c>
      <c r="K10" s="17"/>
      <c r="M10" s="15">
        <v>12</v>
      </c>
      <c r="N10" s="15">
        <v>550</v>
      </c>
      <c r="O10" s="17"/>
    </row>
    <row r="11" spans="2:15" ht="14.25" customHeight="1" x14ac:dyDescent="0.25">
      <c r="B11" s="14" t="s">
        <v>39</v>
      </c>
      <c r="C11" s="15">
        <v>18</v>
      </c>
      <c r="D11" s="15">
        <v>750</v>
      </c>
      <c r="E11" s="16">
        <v>13500</v>
      </c>
      <c r="I11" s="15">
        <v>12</v>
      </c>
      <c r="J11" s="15">
        <v>650</v>
      </c>
      <c r="K11" s="17"/>
      <c r="M11" s="15">
        <v>18</v>
      </c>
      <c r="N11" s="15">
        <v>750</v>
      </c>
      <c r="O11" s="17"/>
    </row>
    <row r="12" spans="2:15" ht="14.25" customHeight="1" x14ac:dyDescent="0.25">
      <c r="B12" s="14" t="s">
        <v>40</v>
      </c>
      <c r="C12" s="15">
        <v>25</v>
      </c>
      <c r="D12" s="17">
        <v>1100</v>
      </c>
      <c r="E12" s="16">
        <v>27500</v>
      </c>
      <c r="I12" s="15">
        <v>18</v>
      </c>
      <c r="J12" s="15">
        <v>950</v>
      </c>
      <c r="K12" s="17"/>
      <c r="M12" s="15">
        <v>25</v>
      </c>
      <c r="N12" s="17">
        <v>1100</v>
      </c>
      <c r="O12" s="17"/>
    </row>
    <row r="13" spans="2:15" ht="14.25" customHeight="1" x14ac:dyDescent="0.25">
      <c r="B13" s="14" t="s">
        <v>41</v>
      </c>
      <c r="C13" s="15">
        <v>15</v>
      </c>
      <c r="D13" s="15">
        <v>850</v>
      </c>
      <c r="E13" s="16">
        <v>12750</v>
      </c>
      <c r="I13" s="15">
        <v>10</v>
      </c>
      <c r="J13" s="15">
        <v>750</v>
      </c>
      <c r="K13" s="17"/>
      <c r="M13" s="15">
        <v>15</v>
      </c>
      <c r="N13" s="15">
        <v>850</v>
      </c>
      <c r="O13" s="17"/>
    </row>
    <row r="14" spans="2:15" ht="14.25" customHeight="1" x14ac:dyDescent="0.25">
      <c r="B14" s="14" t="s">
        <v>42</v>
      </c>
      <c r="C14" s="14">
        <f>SUM(C10:C13)</f>
        <v>70</v>
      </c>
      <c r="D14" s="18"/>
      <c r="E14" s="19">
        <f>SUM(E10:E13)</f>
        <v>60350</v>
      </c>
    </row>
    <row r="15" spans="2:15" ht="14.25" customHeight="1" x14ac:dyDescent="0.25">
      <c r="B15" s="20"/>
    </row>
    <row r="16" spans="2:15" ht="14.25" customHeight="1" x14ac:dyDescent="0.25">
      <c r="I16" s="21"/>
    </row>
    <row r="17" spans="9:12" ht="14.25" customHeight="1" x14ac:dyDescent="0.25">
      <c r="I17" s="22" t="s">
        <v>43</v>
      </c>
    </row>
    <row r="18" spans="9:12" ht="14.25" customHeight="1" x14ac:dyDescent="0.25">
      <c r="I18" s="13" t="s">
        <v>37</v>
      </c>
      <c r="J18" s="13" t="s">
        <v>35</v>
      </c>
      <c r="K18" s="13"/>
      <c r="L18" s="13"/>
    </row>
    <row r="19" spans="9:12" ht="14.25" customHeight="1" x14ac:dyDescent="0.25">
      <c r="I19" s="15">
        <v>9</v>
      </c>
      <c r="J19" s="15">
        <v>500</v>
      </c>
      <c r="K19" s="17"/>
      <c r="L19" s="17"/>
    </row>
    <row r="20" spans="9:12" ht="14.25" customHeight="1" x14ac:dyDescent="0.25">
      <c r="I20" s="15">
        <v>14</v>
      </c>
      <c r="J20" s="15">
        <v>720</v>
      </c>
      <c r="K20" s="17"/>
      <c r="L20" s="17"/>
    </row>
    <row r="21" spans="9:12" ht="14.25" customHeight="1" x14ac:dyDescent="0.25">
      <c r="I21" s="15">
        <v>20</v>
      </c>
      <c r="J21" s="17">
        <v>1000</v>
      </c>
      <c r="K21" s="17"/>
      <c r="L21" s="17"/>
    </row>
    <row r="22" spans="9:12" ht="14.25" customHeight="1" x14ac:dyDescent="0.25">
      <c r="I22" s="15">
        <v>11</v>
      </c>
      <c r="J22" s="15">
        <v>780</v>
      </c>
      <c r="K22" s="17"/>
      <c r="L22" s="17"/>
    </row>
    <row r="23" spans="9:12" ht="14.25" customHeight="1" x14ac:dyDescent="0.25">
      <c r="I23" s="23"/>
      <c r="J23" s="23"/>
      <c r="K23" s="15"/>
      <c r="L23" s="24"/>
    </row>
    <row r="24" spans="9:12" ht="14.25" customHeight="1" x14ac:dyDescent="0.25"/>
    <row r="25" spans="9:12" ht="14.25" customHeight="1" x14ac:dyDescent="0.25"/>
    <row r="26" spans="9:12" ht="14.25" customHeight="1" x14ac:dyDescent="0.25"/>
    <row r="27" spans="9:12" ht="14.25" customHeight="1" x14ac:dyDescent="0.25"/>
    <row r="28" spans="9:12" ht="14.25" customHeight="1" x14ac:dyDescent="0.25"/>
    <row r="29" spans="9:12" ht="14.25" customHeight="1" x14ac:dyDescent="0.25"/>
    <row r="30" spans="9:12" ht="14.25" customHeight="1" x14ac:dyDescent="0.25"/>
    <row r="31" spans="9:12" ht="14.25" customHeight="1" x14ac:dyDescent="0.25"/>
    <row r="32" spans="9:1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Definition</vt:lpstr>
      <vt:lpstr>Savings</vt:lpstr>
      <vt:lpstr>Expense Planning</vt:lpstr>
      <vt:lpstr>Scenario Summary</vt:lpstr>
      <vt:lpstr>Sales Estimation</vt:lpstr>
      <vt:lpstr>TASK_Marketing Campaign</vt:lpstr>
      <vt:lpstr>Ad_budget</vt:lpstr>
      <vt:lpstr>Discount</vt:lpstr>
      <vt:lpstr>entertainment</vt:lpstr>
      <vt:lpstr>Expected_sales</vt:lpstr>
      <vt:lpstr>Food</vt:lpstr>
      <vt:lpstr>Housing</vt:lpstr>
      <vt:lpstr>Income</vt:lpstr>
      <vt:lpstr>loan</vt:lpstr>
      <vt:lpstr>Personal_care</vt:lpstr>
      <vt:lpstr>Savings</vt:lpstr>
      <vt:lpstr>Transportation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Datamites</dc:creator>
  <cp:lastModifiedBy>kureshi sakil</cp:lastModifiedBy>
  <dcterms:created xsi:type="dcterms:W3CDTF">2025-02-22T21:04:02Z</dcterms:created>
  <dcterms:modified xsi:type="dcterms:W3CDTF">2026-03-22T05:18:17Z</dcterms:modified>
</cp:coreProperties>
</file>