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res\OneDrive\Desktop\data for practice\ADA\ADA\"/>
    </mc:Choice>
  </mc:AlternateContent>
  <bookViews>
    <workbookView xWindow="-120" yWindow="-120" windowWidth="20730" windowHeight="11160" activeTab="1"/>
  </bookViews>
  <sheets>
    <sheet name="Problem" sheetId="1" r:id="rId1"/>
    <sheet name="Solved" sheetId="3" r:id="rId2"/>
  </sheets>
  <definedNames>
    <definedName name="solver_adj" localSheetId="0" hidden="1">Problem!$B$16:$B$17</definedName>
    <definedName name="solver_adj" localSheetId="1" hidden="1">Solved!$B$16,Solved!$B$17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Problem!$B$16:$B$17</definedName>
    <definedName name="solver_lhs1" localSheetId="1" hidden="1">Solved!$C$18</definedName>
    <definedName name="solver_lhs2" localSheetId="0" hidden="1">Problem!$C$18</definedName>
    <definedName name="solver_lhs2" localSheetId="1" hidden="1">Solved!$D$18</definedName>
    <definedName name="solver_lhs3" localSheetId="0" hidden="1">Problem!$D$18</definedName>
    <definedName name="solver_lhs3" localSheetId="1" hidden="1">Solved!$E$18</definedName>
    <definedName name="solver_lhs4" localSheetId="0" hidden="1">Problem!$E$18</definedName>
    <definedName name="solver_lhs5" localSheetId="0" hidden="1">Problem!$E$18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4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Problem!$C$24</definedName>
    <definedName name="solver_opt" localSheetId="1" hidden="1">Solved!$C$24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4</definedName>
    <definedName name="solver_rel1" localSheetId="1" hidden="1">1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5" localSheetId="0" hidden="1">1</definedName>
    <definedName name="solver_rhs1" localSheetId="0" hidden="1">"integer"</definedName>
    <definedName name="solver_rhs1" localSheetId="1" hidden="1">10800</definedName>
    <definedName name="solver_rhs2" localSheetId="0" hidden="1">Problem!$B$9</definedName>
    <definedName name="solver_rhs2" localSheetId="1" hidden="1">4500</definedName>
    <definedName name="solver_rhs3" localSheetId="0" hidden="1">Problem!$B$10</definedName>
    <definedName name="solver_rhs3" localSheetId="1" hidden="1">2500</definedName>
    <definedName name="solver_rhs4" localSheetId="0" hidden="1">Problem!$B$11</definedName>
    <definedName name="solver_rhs5" localSheetId="0" hidden="1">Problem!$B$11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7JToPYF2YoZz3A+t79CE9twT3lnmuePEWbJoGs6aKtk="/>
    </ext>
  </extLst>
</workbook>
</file>

<file path=xl/calcChain.xml><?xml version="1.0" encoding="utf-8"?>
<calcChain xmlns="http://schemas.openxmlformats.org/spreadsheetml/2006/main">
  <c r="B23" i="3" l="1"/>
  <c r="C23" i="3" s="1"/>
  <c r="B22" i="3"/>
  <c r="C22" i="3" s="1"/>
  <c r="D17" i="3"/>
  <c r="E17" i="3"/>
  <c r="C17" i="3"/>
  <c r="D16" i="3"/>
  <c r="E16" i="3"/>
  <c r="C16" i="3"/>
  <c r="C18" i="3" l="1"/>
  <c r="D18" i="3"/>
  <c r="E18" i="3"/>
  <c r="C24" i="3"/>
  <c r="C24" i="1" l="1"/>
</calcChain>
</file>

<file path=xl/sharedStrings.xml><?xml version="1.0" encoding="utf-8"?>
<sst xmlns="http://schemas.openxmlformats.org/spreadsheetml/2006/main" count="65" uniqueCount="19">
  <si>
    <t>Task : Define Objective Function (profit) and find the Optimal manufacturing quantities for car models to maximize the objective function?</t>
  </si>
  <si>
    <t>Activity time in Hours</t>
  </si>
  <si>
    <t>Car Model</t>
  </si>
  <si>
    <t xml:space="preserve">Assembly ( All parts) </t>
  </si>
  <si>
    <t>Frame Fitting and Painting</t>
  </si>
  <si>
    <t>Quality Assurance</t>
  </si>
  <si>
    <t>KERK 501</t>
  </si>
  <si>
    <t>KERK 601</t>
  </si>
  <si>
    <t>Manufacturing Activity</t>
  </si>
  <si>
    <t>Time Available per Week</t>
  </si>
  <si>
    <t>Profit (USD Thousands)</t>
  </si>
  <si>
    <t>Assembly ( All parts)</t>
  </si>
  <si>
    <t>Quantity</t>
  </si>
  <si>
    <t>Total</t>
  </si>
  <si>
    <t>Production Quantity</t>
  </si>
  <si>
    <t>Total profit</t>
  </si>
  <si>
    <t>GIVEN DATA</t>
  </si>
  <si>
    <t>Profit= Quantity*profit for single unit</t>
  </si>
  <si>
    <t>Profit of single unit(USD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</si>
</sst>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1"/>
      <color rgb="FF000000"/>
      <name val="Calibri"/>
      <family val="2"/>
    </font>
    <font>
      <sz val="11"/>
      <color theme="5" tint="-0.249977111117893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theme="2" tint="-4.9989318521683403E-2"/>
        <bgColor theme="7"/>
      </patternFill>
    </fill>
    <fill>
      <patternFill patternType="solid">
        <fgColor theme="2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medium">
        <color indexed="64"/>
      </left>
      <right style="thin">
        <color rgb="FFE7E6E6"/>
      </right>
      <top style="medium">
        <color indexed="64"/>
      </top>
      <bottom style="thin">
        <color rgb="FFE7E6E6"/>
      </bottom>
      <diagonal/>
    </border>
    <border>
      <left style="thin">
        <color rgb="FFE7E6E6"/>
      </left>
      <right/>
      <top style="medium">
        <color indexed="64"/>
      </top>
      <bottom style="thin">
        <color rgb="FFE7E6E6"/>
      </bottom>
      <diagonal/>
    </border>
    <border>
      <left/>
      <right/>
      <top style="medium">
        <color indexed="64"/>
      </top>
      <bottom style="thin">
        <color rgb="FFE7E6E6"/>
      </bottom>
      <diagonal/>
    </border>
    <border>
      <left/>
      <right style="medium">
        <color indexed="64"/>
      </right>
      <top style="medium">
        <color indexed="64"/>
      </top>
      <bottom style="thin">
        <color rgb="FFE7E6E6"/>
      </bottom>
      <diagonal/>
    </border>
    <border>
      <left style="medium">
        <color indexed="64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medium">
        <color indexed="64"/>
      </right>
      <top style="thin">
        <color rgb="FFE7E6E6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1" fontId="3" fillId="5" borderId="3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6" borderId="3" xfId="0" applyFont="1" applyFill="1" applyBorder="1" applyAlignment="1">
      <alignment horizontal="center"/>
    </xf>
    <xf numFmtId="1" fontId="4" fillId="6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left" vertical="center" readingOrder="1"/>
    </xf>
    <xf numFmtId="0" fontId="3" fillId="0" borderId="4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7" fillId="7" borderId="2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1" fontId="4" fillId="4" borderId="4" xfId="0" applyNumberFormat="1" applyFont="1" applyFill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1" fontId="4" fillId="6" borderId="4" xfId="0" applyNumberFormat="1" applyFont="1" applyFill="1" applyBorder="1" applyAlignment="1">
      <alignment horizontal="center"/>
    </xf>
    <xf numFmtId="0" fontId="6" fillId="7" borderId="1" xfId="0" applyFont="1" applyFill="1" applyBorder="1" applyAlignment="1"/>
    <xf numFmtId="0" fontId="6" fillId="8" borderId="1" xfId="0" applyFont="1" applyFill="1" applyBorder="1" applyAlignment="1"/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8" zoomScaleNormal="100" workbookViewId="0">
      <selection activeCell="G19" sqref="G19"/>
    </sheetView>
  </sheetViews>
  <sheetFormatPr defaultColWidth="14.42578125" defaultRowHeight="15" x14ac:dyDescent="0.25"/>
  <cols>
    <col min="1" max="1" width="28.7109375" bestFit="1" customWidth="1"/>
    <col min="2" max="2" width="27.42578125" bestFit="1" customWidth="1"/>
    <col min="3" max="4" width="28.7109375" bestFit="1" customWidth="1"/>
    <col min="5" max="5" width="43.5703125" customWidth="1"/>
    <col min="6" max="26" width="9.140625" customWidth="1"/>
  </cols>
  <sheetData>
    <row r="1" spans="1:26" ht="15.75" thickBot="1" x14ac:dyDescent="0.3">
      <c r="A1" s="39" t="s">
        <v>16</v>
      </c>
      <c r="B1" s="39"/>
      <c r="C1" s="39"/>
      <c r="D1" s="39"/>
      <c r="E1" s="3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x14ac:dyDescent="0.3">
      <c r="A2" s="15"/>
      <c r="B2" s="36" t="s">
        <v>1</v>
      </c>
      <c r="C2" s="37"/>
      <c r="D2" s="38"/>
      <c r="E2" s="2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x14ac:dyDescent="0.3">
      <c r="A3" s="16" t="s">
        <v>2</v>
      </c>
      <c r="B3" s="14" t="s">
        <v>3</v>
      </c>
      <c r="C3" s="14" t="s">
        <v>4</v>
      </c>
      <c r="D3" s="17" t="s">
        <v>5</v>
      </c>
      <c r="E3" s="2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x14ac:dyDescent="0.3">
      <c r="A4" s="18" t="s">
        <v>6</v>
      </c>
      <c r="B4" s="13">
        <v>8</v>
      </c>
      <c r="C4" s="13">
        <v>4</v>
      </c>
      <c r="D4" s="19">
        <v>2</v>
      </c>
      <c r="E4" s="2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thickBot="1" x14ac:dyDescent="0.35">
      <c r="A5" s="20" t="s">
        <v>7</v>
      </c>
      <c r="B5" s="21">
        <v>10</v>
      </c>
      <c r="C5" s="21">
        <v>3</v>
      </c>
      <c r="D5" s="22">
        <v>1.6</v>
      </c>
      <c r="E5" s="2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7"/>
      <c r="B6" s="28"/>
      <c r="C6" s="28"/>
      <c r="D6" s="28"/>
      <c r="E6" s="2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27"/>
      <c r="B7" s="28"/>
      <c r="C7" s="28"/>
      <c r="D7" s="28"/>
      <c r="E7" s="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x14ac:dyDescent="0.3">
      <c r="A8" s="23" t="s">
        <v>8</v>
      </c>
      <c r="B8" s="24" t="s">
        <v>9</v>
      </c>
      <c r="C8" s="29"/>
      <c r="D8" s="23" t="s">
        <v>2</v>
      </c>
      <c r="E8" s="24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8" t="s">
        <v>11</v>
      </c>
      <c r="B9" s="19">
        <v>10800</v>
      </c>
      <c r="C9" s="29"/>
      <c r="D9" s="18" t="s">
        <v>6</v>
      </c>
      <c r="E9" s="19">
        <v>4.9000000000000004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thickBot="1" x14ac:dyDescent="0.35">
      <c r="A10" s="18" t="s">
        <v>4</v>
      </c>
      <c r="B10" s="19">
        <v>4500</v>
      </c>
      <c r="C10" s="29"/>
      <c r="D10" s="20" t="s">
        <v>7</v>
      </c>
      <c r="E10" s="22">
        <v>5.8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thickBot="1" x14ac:dyDescent="0.35">
      <c r="A11" s="20" t="s">
        <v>5</v>
      </c>
      <c r="B11" s="22">
        <v>2500</v>
      </c>
      <c r="C11" s="29"/>
      <c r="D11" s="29"/>
      <c r="E11" s="3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x14ac:dyDescent="0.3">
      <c r="A12" s="31"/>
      <c r="B12" s="29"/>
      <c r="C12" s="29"/>
      <c r="D12" s="29"/>
      <c r="E12" s="3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thickBot="1" x14ac:dyDescent="0.35">
      <c r="A13" s="32"/>
      <c r="B13" s="33"/>
      <c r="C13" s="33"/>
      <c r="D13" s="33"/>
      <c r="E13" s="3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x14ac:dyDescent="0.3">
      <c r="A14" s="48" t="s">
        <v>0</v>
      </c>
      <c r="B14" s="49"/>
      <c r="C14" s="49"/>
      <c r="D14" s="49"/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x14ac:dyDescent="0.3">
      <c r="A15" s="41" t="s">
        <v>2</v>
      </c>
      <c r="B15" s="41" t="s">
        <v>12</v>
      </c>
      <c r="C15" s="41" t="s">
        <v>3</v>
      </c>
      <c r="D15" s="41" t="s">
        <v>4</v>
      </c>
      <c r="E15" s="41" t="s">
        <v>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x14ac:dyDescent="0.3">
      <c r="A16" s="13" t="s">
        <v>6</v>
      </c>
      <c r="B16" s="42"/>
      <c r="C16" s="43"/>
      <c r="D16" s="43"/>
      <c r="E16" s="4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x14ac:dyDescent="0.3">
      <c r="A17" s="13" t="s">
        <v>7</v>
      </c>
      <c r="B17" s="42"/>
      <c r="C17" s="43"/>
      <c r="D17" s="43"/>
      <c r="E17" s="4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x14ac:dyDescent="0.3">
      <c r="A18" s="13"/>
      <c r="B18" s="44" t="s">
        <v>13</v>
      </c>
      <c r="C18" s="45"/>
      <c r="D18" s="45"/>
      <c r="E18" s="4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50"/>
      <c r="B19" s="28"/>
      <c r="C19" s="28"/>
      <c r="D19" s="28"/>
      <c r="E19" s="5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50"/>
      <c r="B20" s="28"/>
      <c r="C20" s="28"/>
      <c r="D20" s="28"/>
      <c r="E20" s="5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x14ac:dyDescent="0.3">
      <c r="A21" s="41" t="s">
        <v>2</v>
      </c>
      <c r="B21" s="41" t="s">
        <v>14</v>
      </c>
      <c r="C21" s="41" t="s">
        <v>10</v>
      </c>
      <c r="D21" s="52" t="s">
        <v>17</v>
      </c>
      <c r="E21" s="5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x14ac:dyDescent="0.3">
      <c r="A22" s="13" t="s">
        <v>6</v>
      </c>
      <c r="B22" s="43"/>
      <c r="C22" s="43"/>
      <c r="D22" s="28"/>
      <c r="E22" s="5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x14ac:dyDescent="0.3">
      <c r="A23" s="13" t="s">
        <v>7</v>
      </c>
      <c r="B23" s="43"/>
      <c r="C23" s="43"/>
      <c r="D23" s="28"/>
      <c r="E23" s="5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x14ac:dyDescent="0.3">
      <c r="A24" s="13"/>
      <c r="B24" s="46" t="s">
        <v>15</v>
      </c>
      <c r="C24" s="47">
        <f>C22+C23</f>
        <v>0</v>
      </c>
      <c r="D24" s="54"/>
      <c r="E24" s="5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x14ac:dyDescent="0.3">
      <c r="A25" s="4"/>
      <c r="B25" s="4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x14ac:dyDescent="0.3">
      <c r="A26" s="4"/>
      <c r="B26" s="4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x14ac:dyDescent="0.3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x14ac:dyDescent="0.3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x14ac:dyDescent="0.3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x14ac:dyDescent="0.3">
      <c r="A30" s="4"/>
      <c r="B30" s="4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">
    <mergeCell ref="B2:D2"/>
    <mergeCell ref="A1:E1"/>
    <mergeCell ref="D21:E2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B16" sqref="B16"/>
    </sheetView>
  </sheetViews>
  <sheetFormatPr defaultRowHeight="15" x14ac:dyDescent="0.25"/>
  <cols>
    <col min="1" max="1" width="30.5703125" bestFit="1" customWidth="1"/>
    <col min="2" max="2" width="28.7109375" bestFit="1" customWidth="1"/>
    <col min="3" max="4" width="30.5703125" bestFit="1" customWidth="1"/>
    <col min="5" max="5" width="42" bestFit="1" customWidth="1"/>
  </cols>
  <sheetData>
    <row r="1" spans="1:5" ht="15.75" thickBot="1" x14ac:dyDescent="0.3">
      <c r="A1" s="39" t="s">
        <v>16</v>
      </c>
      <c r="B1" s="39"/>
      <c r="C1" s="39"/>
      <c r="D1" s="39"/>
      <c r="E1" s="39"/>
    </row>
    <row r="2" spans="1:5" ht="18.75" x14ac:dyDescent="0.3">
      <c r="A2" s="15"/>
      <c r="B2" s="36" t="s">
        <v>1</v>
      </c>
      <c r="C2" s="37"/>
      <c r="D2" s="38"/>
      <c r="E2" s="25"/>
    </row>
    <row r="3" spans="1:5" ht="18.75" x14ac:dyDescent="0.3">
      <c r="A3" s="16" t="s">
        <v>2</v>
      </c>
      <c r="B3" s="14" t="s">
        <v>3</v>
      </c>
      <c r="C3" s="14" t="s">
        <v>4</v>
      </c>
      <c r="D3" s="17" t="s">
        <v>5</v>
      </c>
      <c r="E3" s="26"/>
    </row>
    <row r="4" spans="1:5" ht="18.75" x14ac:dyDescent="0.3">
      <c r="A4" s="18" t="s">
        <v>6</v>
      </c>
      <c r="B4" s="13">
        <v>8</v>
      </c>
      <c r="C4" s="13">
        <v>4</v>
      </c>
      <c r="D4" s="19">
        <v>2</v>
      </c>
      <c r="E4" s="26"/>
    </row>
    <row r="5" spans="1:5" ht="19.5" thickBot="1" x14ac:dyDescent="0.35">
      <c r="A5" s="20" t="s">
        <v>7</v>
      </c>
      <c r="B5" s="21">
        <v>10</v>
      </c>
      <c r="C5" s="21">
        <v>3</v>
      </c>
      <c r="D5" s="22">
        <v>1.6</v>
      </c>
      <c r="E5" s="26"/>
    </row>
    <row r="6" spans="1:5" x14ac:dyDescent="0.25">
      <c r="A6" s="27"/>
      <c r="B6" s="28"/>
      <c r="C6" s="28"/>
      <c r="D6" s="28"/>
      <c r="E6" s="26"/>
    </row>
    <row r="7" spans="1:5" ht="15.75" thickBot="1" x14ac:dyDescent="0.3">
      <c r="A7" s="27"/>
      <c r="B7" s="28"/>
      <c r="C7" s="28"/>
      <c r="D7" s="28"/>
      <c r="E7" s="26"/>
    </row>
    <row r="8" spans="1:5" ht="18.75" x14ac:dyDescent="0.3">
      <c r="A8" s="23" t="s">
        <v>8</v>
      </c>
      <c r="B8" s="24" t="s">
        <v>9</v>
      </c>
      <c r="C8" s="29"/>
      <c r="D8" s="23" t="s">
        <v>2</v>
      </c>
      <c r="E8" s="24" t="s">
        <v>18</v>
      </c>
    </row>
    <row r="9" spans="1:5" ht="18.75" x14ac:dyDescent="0.3">
      <c r="A9" s="18" t="s">
        <v>11</v>
      </c>
      <c r="B9" s="19">
        <v>10800</v>
      </c>
      <c r="C9" s="29"/>
      <c r="D9" s="18" t="s">
        <v>6</v>
      </c>
      <c r="E9" s="19">
        <v>4.9000000000000004</v>
      </c>
    </row>
    <row r="10" spans="1:5" ht="19.5" thickBot="1" x14ac:dyDescent="0.35">
      <c r="A10" s="18" t="s">
        <v>4</v>
      </c>
      <c r="B10" s="19">
        <v>4500</v>
      </c>
      <c r="C10" s="29"/>
      <c r="D10" s="20" t="s">
        <v>7</v>
      </c>
      <c r="E10" s="22">
        <v>5.8</v>
      </c>
    </row>
    <row r="11" spans="1:5" ht="19.5" thickBot="1" x14ac:dyDescent="0.35">
      <c r="A11" s="20" t="s">
        <v>5</v>
      </c>
      <c r="B11" s="22">
        <v>2500</v>
      </c>
      <c r="C11" s="29"/>
      <c r="D11" s="29"/>
      <c r="E11" s="30"/>
    </row>
    <row r="12" spans="1:5" ht="18.75" x14ac:dyDescent="0.3">
      <c r="A12" s="31"/>
      <c r="B12" s="29"/>
      <c r="C12" s="29"/>
      <c r="D12" s="29"/>
      <c r="E12" s="30"/>
    </row>
    <row r="13" spans="1:5" ht="19.5" thickBot="1" x14ac:dyDescent="0.35">
      <c r="A13" s="32"/>
      <c r="B13" s="33"/>
      <c r="C13" s="33"/>
      <c r="D13" s="33"/>
      <c r="E13" s="34"/>
    </row>
    <row r="14" spans="1:5" ht="18.75" x14ac:dyDescent="0.3">
      <c r="A14" s="29"/>
      <c r="B14" s="29"/>
      <c r="C14" s="29"/>
      <c r="D14" s="29"/>
      <c r="E14" s="29"/>
    </row>
    <row r="15" spans="1:5" ht="18.75" x14ac:dyDescent="0.3">
      <c r="A15" s="3" t="s">
        <v>2</v>
      </c>
      <c r="B15" s="3" t="s">
        <v>12</v>
      </c>
      <c r="C15" s="3" t="s">
        <v>3</v>
      </c>
      <c r="D15" s="3" t="s">
        <v>4</v>
      </c>
      <c r="E15" s="3" t="s">
        <v>5</v>
      </c>
    </row>
    <row r="16" spans="1:5" ht="18.75" x14ac:dyDescent="0.3">
      <c r="A16" s="2" t="s">
        <v>6</v>
      </c>
      <c r="B16" s="5">
        <v>787.50000000000011</v>
      </c>
      <c r="C16" s="6">
        <f>$B$16*B4</f>
        <v>6300.0000000000009</v>
      </c>
      <c r="D16" s="6">
        <f t="shared" ref="D16:E16" si="0">$B$16*C4</f>
        <v>3150.0000000000005</v>
      </c>
      <c r="E16" s="6">
        <f t="shared" si="0"/>
        <v>1575.0000000000002</v>
      </c>
    </row>
    <row r="17" spans="1:5" ht="18.75" x14ac:dyDescent="0.3">
      <c r="A17" s="2" t="s">
        <v>7</v>
      </c>
      <c r="B17" s="5">
        <v>449.99999999999989</v>
      </c>
      <c r="C17" s="6">
        <f>$B$17*B5</f>
        <v>4499.9999999999991</v>
      </c>
      <c r="D17" s="6">
        <f t="shared" ref="D17:E17" si="1">$B$17*C5</f>
        <v>1349.9999999999995</v>
      </c>
      <c r="E17" s="6">
        <f t="shared" si="1"/>
        <v>719.99999999999989</v>
      </c>
    </row>
    <row r="18" spans="1:5" ht="18.75" x14ac:dyDescent="0.3">
      <c r="A18" s="4"/>
      <c r="B18" s="7" t="s">
        <v>13</v>
      </c>
      <c r="C18" s="8">
        <f>SUM(C16:C17)</f>
        <v>10800</v>
      </c>
      <c r="D18" s="8">
        <f>SUM(D16:D17)</f>
        <v>4500</v>
      </c>
      <c r="E18" s="8">
        <f>SUM(E16:E17)</f>
        <v>2295</v>
      </c>
    </row>
    <row r="19" spans="1:5" x14ac:dyDescent="0.25">
      <c r="A19" s="35"/>
      <c r="B19" s="35"/>
      <c r="C19" s="35"/>
      <c r="D19" s="35"/>
      <c r="E19" s="35"/>
    </row>
    <row r="20" spans="1:5" x14ac:dyDescent="0.25">
      <c r="A20" s="35"/>
      <c r="B20" s="35"/>
      <c r="C20" s="35"/>
      <c r="D20" s="35"/>
      <c r="E20" s="35"/>
    </row>
    <row r="21" spans="1:5" ht="18.75" x14ac:dyDescent="0.3">
      <c r="A21" s="3" t="s">
        <v>2</v>
      </c>
      <c r="B21" s="3" t="s">
        <v>14</v>
      </c>
      <c r="C21" s="3" t="s">
        <v>10</v>
      </c>
      <c r="D21" s="40" t="s">
        <v>17</v>
      </c>
      <c r="E21" s="40"/>
    </row>
    <row r="22" spans="1:5" ht="18.75" x14ac:dyDescent="0.3">
      <c r="A22" s="4" t="s">
        <v>6</v>
      </c>
      <c r="B22" s="9">
        <f>B16</f>
        <v>787.50000000000011</v>
      </c>
      <c r="C22" s="9">
        <f>B22*E9</f>
        <v>3858.7500000000009</v>
      </c>
      <c r="D22" s="35"/>
      <c r="E22" s="35"/>
    </row>
    <row r="23" spans="1:5" ht="18.75" x14ac:dyDescent="0.3">
      <c r="A23" s="4" t="s">
        <v>7</v>
      </c>
      <c r="B23" s="9">
        <f>B17</f>
        <v>449.99999999999989</v>
      </c>
      <c r="C23" s="9">
        <f>B23*E10</f>
        <v>2609.9999999999991</v>
      </c>
      <c r="D23" s="35"/>
      <c r="E23" s="35"/>
    </row>
    <row r="24" spans="1:5" ht="18.75" x14ac:dyDescent="0.3">
      <c r="A24" s="4"/>
      <c r="B24" s="10" t="s">
        <v>15</v>
      </c>
      <c r="C24" s="11">
        <f>C22+C23</f>
        <v>6468.75</v>
      </c>
      <c r="D24" s="35"/>
      <c r="E24" s="35"/>
    </row>
    <row r="25" spans="1:5" ht="18.75" x14ac:dyDescent="0.3">
      <c r="A25" s="4"/>
      <c r="B25" s="4"/>
      <c r="C25" s="4"/>
      <c r="D25" s="35"/>
      <c r="E25" s="35"/>
    </row>
  </sheetData>
  <mergeCells count="3">
    <mergeCell ref="A1:E1"/>
    <mergeCell ref="B2:D2"/>
    <mergeCell ref="D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kureshi sakil</cp:lastModifiedBy>
  <dcterms:created xsi:type="dcterms:W3CDTF">2020-03-20T13:01:58Z</dcterms:created>
  <dcterms:modified xsi:type="dcterms:W3CDTF">2026-07-13T05:51:52Z</dcterms:modified>
</cp:coreProperties>
</file>